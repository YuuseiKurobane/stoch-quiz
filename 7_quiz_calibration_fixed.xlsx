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AECF2C17-CDA6-4795-9A9A-B9D594E13F4A}" xr6:coauthVersionLast="47" xr6:coauthVersionMax="47" xr10:uidLastSave="{00000000-0000-0000-0000-000000000000}"/>
  <bookViews>
    <workbookView xWindow="-120" yWindow="-120" windowWidth="38640" windowHeight="21240" activeTab="16" xr2:uid="{00000000-000D-0000-FFFF-FFFF00000000}"/>
  </bookViews>
  <sheets>
    <sheet name="Overview" sheetId="1" r:id="rId1"/>
    <sheet name="AccuracyTable" sheetId="2" r:id="rId2"/>
    <sheet name="Quiz 1" sheetId="3" r:id="rId3"/>
    <sheet name="Quiz 2" sheetId="4" r:id="rId4"/>
    <sheet name="Quiz 3" sheetId="5" r:id="rId5"/>
    <sheet name="Quiz 4" sheetId="6" r:id="rId6"/>
    <sheet name="Quiz 5" sheetId="7" r:id="rId7"/>
    <sheet name="Quiz 6" sheetId="8" r:id="rId8"/>
    <sheet name="Quiz 7" sheetId="9" r:id="rId9"/>
    <sheet name="Quiz 8" sheetId="10" r:id="rId10"/>
    <sheet name="Quiz 9" sheetId="11" r:id="rId11"/>
    <sheet name="Quiz 10" sheetId="12" r:id="rId12"/>
    <sheet name="Quiz 11" sheetId="13" r:id="rId13"/>
    <sheet name="Quiz 12" sheetId="14" r:id="rId14"/>
    <sheet name="Quiz 13" sheetId="15" r:id="rId15"/>
    <sheet name="Quiz 14" sheetId="16" r:id="rId16"/>
    <sheet name="Quiz 15" sheetId="17" r:id="rId17"/>
  </sheets>
  <calcPr calcId="181029"/>
</workbook>
</file>

<file path=xl/calcChain.xml><?xml version="1.0" encoding="utf-8"?>
<calcChain xmlns="http://schemas.openxmlformats.org/spreadsheetml/2006/main">
  <c r="E5" i="3" l="1"/>
  <c r="P19" i="17"/>
  <c r="P20" i="17"/>
  <c r="P21" i="17"/>
  <c r="P22" i="17"/>
  <c r="P23" i="17"/>
  <c r="P24" i="17"/>
  <c r="P25" i="17"/>
  <c r="P26" i="17"/>
  <c r="P27" i="17"/>
  <c r="P28" i="17"/>
  <c r="P18" i="17"/>
  <c r="P19" i="16"/>
  <c r="P20" i="16"/>
  <c r="P21" i="16"/>
  <c r="P22" i="16"/>
  <c r="P23" i="16"/>
  <c r="P24" i="16"/>
  <c r="P25" i="16"/>
  <c r="P26" i="16"/>
  <c r="P27" i="16"/>
  <c r="P28" i="16"/>
  <c r="P18" i="16"/>
  <c r="P19" i="15"/>
  <c r="P20" i="15"/>
  <c r="P21" i="15"/>
  <c r="P22" i="15"/>
  <c r="P23" i="15"/>
  <c r="P24" i="15"/>
  <c r="P25" i="15"/>
  <c r="P26" i="15"/>
  <c r="P27" i="15"/>
  <c r="P28" i="15"/>
  <c r="P18" i="15"/>
  <c r="P19" i="14"/>
  <c r="P20" i="14"/>
  <c r="P21" i="14"/>
  <c r="P22" i="14"/>
  <c r="P23" i="14"/>
  <c r="P24" i="14"/>
  <c r="P25" i="14"/>
  <c r="P26" i="14"/>
  <c r="P27" i="14"/>
  <c r="P28" i="14"/>
  <c r="P18" i="14"/>
  <c r="P19" i="13"/>
  <c r="P20" i="13"/>
  <c r="P21" i="13"/>
  <c r="P22" i="13"/>
  <c r="P23" i="13"/>
  <c r="P24" i="13"/>
  <c r="P25" i="13"/>
  <c r="P26" i="13"/>
  <c r="P27" i="13"/>
  <c r="P28" i="13"/>
  <c r="P18" i="13"/>
  <c r="P19" i="12"/>
  <c r="P20" i="12"/>
  <c r="P21" i="12"/>
  <c r="P22" i="12"/>
  <c r="P23" i="12"/>
  <c r="P24" i="12"/>
  <c r="P25" i="12"/>
  <c r="P26" i="12"/>
  <c r="P27" i="12"/>
  <c r="P28" i="12"/>
  <c r="P18" i="12"/>
  <c r="P19" i="11"/>
  <c r="P20" i="11"/>
  <c r="P21" i="11"/>
  <c r="P22" i="11"/>
  <c r="P23" i="11"/>
  <c r="P24" i="11"/>
  <c r="P25" i="11"/>
  <c r="P26" i="11"/>
  <c r="P27" i="11"/>
  <c r="P28" i="11"/>
  <c r="P18" i="11"/>
  <c r="P19" i="10"/>
  <c r="P20" i="10"/>
  <c r="P21" i="10"/>
  <c r="P22" i="10"/>
  <c r="P23" i="10"/>
  <c r="P24" i="10"/>
  <c r="P25" i="10"/>
  <c r="P26" i="10"/>
  <c r="P27" i="10"/>
  <c r="P28" i="10"/>
  <c r="P18" i="10"/>
  <c r="J28" i="17"/>
  <c r="I28" i="17"/>
  <c r="B28" i="17"/>
  <c r="D28" i="17" s="1"/>
  <c r="N27" i="17"/>
  <c r="J27" i="17"/>
  <c r="I27" i="17"/>
  <c r="B27" i="17"/>
  <c r="D27" i="17" s="1"/>
  <c r="N26" i="17"/>
  <c r="J26" i="17"/>
  <c r="I26" i="17"/>
  <c r="B26" i="17"/>
  <c r="D26" i="17" s="1"/>
  <c r="N25" i="17"/>
  <c r="J25" i="17"/>
  <c r="I25" i="17"/>
  <c r="B25" i="17"/>
  <c r="D25" i="17" s="1"/>
  <c r="N24" i="17"/>
  <c r="J24" i="17"/>
  <c r="I24" i="17"/>
  <c r="B24" i="17"/>
  <c r="D24" i="17" s="1"/>
  <c r="N23" i="17"/>
  <c r="J23" i="17"/>
  <c r="I23" i="17"/>
  <c r="B23" i="17"/>
  <c r="D23" i="17" s="1"/>
  <c r="N22" i="17"/>
  <c r="J22" i="17"/>
  <c r="I22" i="17"/>
  <c r="B22" i="17"/>
  <c r="D22" i="17" s="1"/>
  <c r="N21" i="17"/>
  <c r="J21" i="17"/>
  <c r="I21" i="17"/>
  <c r="B21" i="17"/>
  <c r="D21" i="17" s="1"/>
  <c r="N20" i="17"/>
  <c r="J20" i="17"/>
  <c r="I20" i="17"/>
  <c r="B20" i="17"/>
  <c r="D20" i="17" s="1"/>
  <c r="N19" i="17"/>
  <c r="J19" i="17"/>
  <c r="I19" i="17"/>
  <c r="B19" i="17"/>
  <c r="D19" i="17" s="1"/>
  <c r="N18" i="17"/>
  <c r="J18" i="17"/>
  <c r="I18" i="17"/>
  <c r="B18" i="17"/>
  <c r="D18" i="17" s="1"/>
  <c r="H14" i="17"/>
  <c r="H13" i="17"/>
  <c r="H12" i="17"/>
  <c r="E10" i="17"/>
  <c r="B10" i="17"/>
  <c r="N32" i="17" s="1"/>
  <c r="B9" i="17"/>
  <c r="B8" i="17"/>
  <c r="B7" i="17"/>
  <c r="D28" i="16"/>
  <c r="B28" i="16"/>
  <c r="D27" i="16"/>
  <c r="B27" i="16"/>
  <c r="D26" i="16"/>
  <c r="B26" i="16"/>
  <c r="D25" i="16"/>
  <c r="B25" i="16"/>
  <c r="B24" i="16"/>
  <c r="D24" i="16" s="1"/>
  <c r="B23" i="16"/>
  <c r="D23" i="16" s="1"/>
  <c r="B22" i="16"/>
  <c r="D22" i="16" s="1"/>
  <c r="B21" i="16"/>
  <c r="D21" i="16" s="1"/>
  <c r="J20" i="16"/>
  <c r="B20" i="16"/>
  <c r="D20" i="16" s="1"/>
  <c r="J19" i="16"/>
  <c r="B19" i="16"/>
  <c r="D19" i="16" s="1"/>
  <c r="H18" i="16"/>
  <c r="D18" i="16"/>
  <c r="B18" i="16"/>
  <c r="B10" i="16"/>
  <c r="J23" i="16" s="1"/>
  <c r="B9" i="16"/>
  <c r="B8" i="16"/>
  <c r="B7" i="16"/>
  <c r="G20" i="16" s="1"/>
  <c r="J28" i="15"/>
  <c r="D28" i="15"/>
  <c r="B28" i="15"/>
  <c r="J27" i="15"/>
  <c r="D27" i="15"/>
  <c r="B27" i="15"/>
  <c r="J26" i="15"/>
  <c r="I26" i="15"/>
  <c r="D26" i="15"/>
  <c r="B26" i="15"/>
  <c r="J25" i="15"/>
  <c r="D25" i="15"/>
  <c r="B25" i="15"/>
  <c r="J24" i="15"/>
  <c r="D24" i="15"/>
  <c r="B24" i="15"/>
  <c r="J23" i="15"/>
  <c r="I23" i="15"/>
  <c r="B23" i="15"/>
  <c r="D23" i="15" s="1"/>
  <c r="J22" i="15"/>
  <c r="B22" i="15"/>
  <c r="D22" i="15" s="1"/>
  <c r="J21" i="15"/>
  <c r="D21" i="15"/>
  <c r="B21" i="15"/>
  <c r="J20" i="15"/>
  <c r="B20" i="15"/>
  <c r="D20" i="15" s="1"/>
  <c r="J19" i="15"/>
  <c r="D19" i="15"/>
  <c r="B19" i="15"/>
  <c r="J18" i="15"/>
  <c r="H18" i="15"/>
  <c r="D18" i="15"/>
  <c r="B18" i="15"/>
  <c r="B10" i="15"/>
  <c r="B9" i="15"/>
  <c r="B8" i="15"/>
  <c r="B7" i="15"/>
  <c r="G28" i="15" s="1"/>
  <c r="D28" i="14"/>
  <c r="B28" i="14"/>
  <c r="B27" i="14"/>
  <c r="D27" i="14" s="1"/>
  <c r="B26" i="14"/>
  <c r="D26" i="14" s="1"/>
  <c r="J25" i="14"/>
  <c r="I25" i="14"/>
  <c r="B25" i="14"/>
  <c r="D25" i="14" s="1"/>
  <c r="D24" i="14"/>
  <c r="B24" i="14"/>
  <c r="B23" i="14"/>
  <c r="D23" i="14" s="1"/>
  <c r="B22" i="14"/>
  <c r="D22" i="14" s="1"/>
  <c r="J21" i="14"/>
  <c r="I21" i="14"/>
  <c r="B21" i="14"/>
  <c r="D21" i="14" s="1"/>
  <c r="D20" i="14"/>
  <c r="B20" i="14"/>
  <c r="B19" i="14"/>
  <c r="D19" i="14" s="1"/>
  <c r="B18" i="14"/>
  <c r="D18" i="14" s="1"/>
  <c r="B10" i="14"/>
  <c r="B9" i="14"/>
  <c r="B8" i="14"/>
  <c r="B7" i="14"/>
  <c r="B28" i="13"/>
  <c r="D28" i="13" s="1"/>
  <c r="J27" i="13"/>
  <c r="D27" i="13"/>
  <c r="B27" i="13"/>
  <c r="D26" i="13"/>
  <c r="B26" i="13"/>
  <c r="J25" i="13"/>
  <c r="B25" i="13"/>
  <c r="D25" i="13" s="1"/>
  <c r="D24" i="13"/>
  <c r="B24" i="13"/>
  <c r="J23" i="13"/>
  <c r="B23" i="13"/>
  <c r="D23" i="13" s="1"/>
  <c r="B22" i="13"/>
  <c r="D22" i="13" s="1"/>
  <c r="J21" i="13"/>
  <c r="D21" i="13"/>
  <c r="B21" i="13"/>
  <c r="D20" i="13"/>
  <c r="B20" i="13"/>
  <c r="J19" i="13"/>
  <c r="H19" i="13"/>
  <c r="D19" i="13"/>
  <c r="B19" i="13"/>
  <c r="J18" i="13"/>
  <c r="H18" i="13"/>
  <c r="B18" i="13"/>
  <c r="D18" i="13" s="1"/>
  <c r="B10" i="13"/>
  <c r="B9" i="13"/>
  <c r="B8" i="13"/>
  <c r="H28" i="13" s="1"/>
  <c r="B7" i="13"/>
  <c r="G25" i="13" s="1"/>
  <c r="B28" i="12"/>
  <c r="D28" i="12" s="1"/>
  <c r="I27" i="12"/>
  <c r="D27" i="12"/>
  <c r="B27" i="12"/>
  <c r="H26" i="12"/>
  <c r="D26" i="12"/>
  <c r="B26" i="12"/>
  <c r="G25" i="12"/>
  <c r="B25" i="12"/>
  <c r="D25" i="12" s="1"/>
  <c r="B24" i="12"/>
  <c r="D24" i="12" s="1"/>
  <c r="H23" i="12"/>
  <c r="B23" i="12"/>
  <c r="D23" i="12" s="1"/>
  <c r="H22" i="12"/>
  <c r="G22" i="12"/>
  <c r="D22" i="12"/>
  <c r="B22" i="12"/>
  <c r="G21" i="12"/>
  <c r="B21" i="12"/>
  <c r="D21" i="12" s="1"/>
  <c r="D20" i="12"/>
  <c r="B20" i="12"/>
  <c r="I19" i="12"/>
  <c r="H19" i="12"/>
  <c r="D19" i="12"/>
  <c r="B19" i="12"/>
  <c r="H18" i="12"/>
  <c r="G18" i="12"/>
  <c r="B18" i="12"/>
  <c r="D18" i="12" s="1"/>
  <c r="B10" i="12"/>
  <c r="B9" i="12"/>
  <c r="B8" i="12"/>
  <c r="H28" i="12" s="1"/>
  <c r="B7" i="12"/>
  <c r="I28" i="11"/>
  <c r="D28" i="11"/>
  <c r="B28" i="11"/>
  <c r="I27" i="11"/>
  <c r="D27" i="11"/>
  <c r="B27" i="11"/>
  <c r="I26" i="11"/>
  <c r="D26" i="11"/>
  <c r="B26" i="11"/>
  <c r="I25" i="11"/>
  <c r="D25" i="11"/>
  <c r="B25" i="11"/>
  <c r="I24" i="11"/>
  <c r="D24" i="11"/>
  <c r="B24" i="11"/>
  <c r="I23" i="11"/>
  <c r="D23" i="11"/>
  <c r="B23" i="11"/>
  <c r="I22" i="11"/>
  <c r="B22" i="11"/>
  <c r="D22" i="11" s="1"/>
  <c r="I21" i="11"/>
  <c r="D21" i="11"/>
  <c r="B21" i="11"/>
  <c r="I20" i="11"/>
  <c r="B20" i="11"/>
  <c r="D20" i="11" s="1"/>
  <c r="I19" i="11"/>
  <c r="B19" i="11"/>
  <c r="D19" i="11" s="1"/>
  <c r="I18" i="11"/>
  <c r="D18" i="11"/>
  <c r="B18" i="11"/>
  <c r="B10" i="11"/>
  <c r="B9" i="11"/>
  <c r="B8" i="11"/>
  <c r="B7" i="11"/>
  <c r="I28" i="10"/>
  <c r="D28" i="10"/>
  <c r="B28" i="10"/>
  <c r="I27" i="10"/>
  <c r="D27" i="10"/>
  <c r="B27" i="10"/>
  <c r="I26" i="10"/>
  <c r="B26" i="10"/>
  <c r="D26" i="10" s="1"/>
  <c r="J25" i="10"/>
  <c r="I25" i="10"/>
  <c r="D25" i="10"/>
  <c r="B25" i="10"/>
  <c r="I24" i="10"/>
  <c r="B24" i="10"/>
  <c r="D24" i="10" s="1"/>
  <c r="I23" i="10"/>
  <c r="B23" i="10"/>
  <c r="D23" i="10" s="1"/>
  <c r="I22" i="10"/>
  <c r="B22" i="10"/>
  <c r="D22" i="10" s="1"/>
  <c r="J21" i="10"/>
  <c r="I21" i="10"/>
  <c r="B21" i="10"/>
  <c r="D21" i="10" s="1"/>
  <c r="J20" i="10"/>
  <c r="I20" i="10"/>
  <c r="D20" i="10"/>
  <c r="B20" i="10"/>
  <c r="I19" i="10"/>
  <c r="H19" i="10"/>
  <c r="B19" i="10"/>
  <c r="D19" i="10" s="1"/>
  <c r="I18" i="10"/>
  <c r="H18" i="10"/>
  <c r="B18" i="10"/>
  <c r="D18" i="10" s="1"/>
  <c r="B10" i="10"/>
  <c r="B9" i="10"/>
  <c r="B8" i="10"/>
  <c r="B7" i="10"/>
  <c r="H26" i="9"/>
  <c r="B26" i="9"/>
  <c r="D26" i="9" s="1"/>
  <c r="G25" i="9"/>
  <c r="D25" i="9"/>
  <c r="E25" i="9" s="1"/>
  <c r="F25" i="9" s="1"/>
  <c r="K25" i="9" s="1"/>
  <c r="B25" i="9"/>
  <c r="H24" i="9"/>
  <c r="D24" i="9"/>
  <c r="B24" i="9"/>
  <c r="H23" i="9"/>
  <c r="G23" i="9"/>
  <c r="B23" i="9"/>
  <c r="D23" i="9" s="1"/>
  <c r="H22" i="9"/>
  <c r="G22" i="9"/>
  <c r="D22" i="9"/>
  <c r="B22" i="9"/>
  <c r="H21" i="9"/>
  <c r="G21" i="9"/>
  <c r="B21" i="9"/>
  <c r="D21" i="9" s="1"/>
  <c r="G20" i="9"/>
  <c r="D20" i="9"/>
  <c r="B20" i="9"/>
  <c r="J19" i="9"/>
  <c r="D19" i="9"/>
  <c r="B19" i="9"/>
  <c r="J18" i="9"/>
  <c r="B18" i="9"/>
  <c r="D18" i="9" s="1"/>
  <c r="B10" i="9"/>
  <c r="B9" i="9"/>
  <c r="B8" i="9"/>
  <c r="H19" i="9" s="1"/>
  <c r="B7" i="9"/>
  <c r="H26" i="8"/>
  <c r="D26" i="8"/>
  <c r="B26" i="8"/>
  <c r="H25" i="8"/>
  <c r="D25" i="8"/>
  <c r="B25" i="8"/>
  <c r="H24" i="8"/>
  <c r="D24" i="8"/>
  <c r="B24" i="8"/>
  <c r="H23" i="8"/>
  <c r="D23" i="8"/>
  <c r="B23" i="8"/>
  <c r="H22" i="8"/>
  <c r="D22" i="8"/>
  <c r="E22" i="8" s="1"/>
  <c r="F22" i="8" s="1"/>
  <c r="B22" i="8"/>
  <c r="H21" i="8"/>
  <c r="D21" i="8"/>
  <c r="B21" i="8"/>
  <c r="H20" i="8"/>
  <c r="D20" i="8"/>
  <c r="B20" i="8"/>
  <c r="H19" i="8"/>
  <c r="D19" i="8"/>
  <c r="B19" i="8"/>
  <c r="H18" i="8"/>
  <c r="E18" i="8"/>
  <c r="F18" i="8" s="1"/>
  <c r="D18" i="8"/>
  <c r="B18" i="8"/>
  <c r="B10" i="8"/>
  <c r="J26" i="8" s="1"/>
  <c r="B9" i="8"/>
  <c r="B8" i="8"/>
  <c r="B7" i="8"/>
  <c r="I25" i="7"/>
  <c r="B25" i="7"/>
  <c r="D25" i="7" s="1"/>
  <c r="I24" i="7"/>
  <c r="D24" i="7"/>
  <c r="B24" i="7"/>
  <c r="I23" i="7"/>
  <c r="D23" i="7"/>
  <c r="B23" i="7"/>
  <c r="I22" i="7"/>
  <c r="H22" i="7"/>
  <c r="G22" i="7"/>
  <c r="D22" i="7"/>
  <c r="B22" i="7"/>
  <c r="I21" i="7"/>
  <c r="D21" i="7"/>
  <c r="B21" i="7"/>
  <c r="I20" i="7"/>
  <c r="G20" i="7"/>
  <c r="B20" i="7"/>
  <c r="D20" i="7" s="1"/>
  <c r="I19" i="7"/>
  <c r="D19" i="7"/>
  <c r="B19" i="7"/>
  <c r="I18" i="7"/>
  <c r="H18" i="7"/>
  <c r="G18" i="7"/>
  <c r="B18" i="7"/>
  <c r="D18" i="7" s="1"/>
  <c r="B10" i="7"/>
  <c r="B9" i="7"/>
  <c r="B8" i="7"/>
  <c r="B7" i="7"/>
  <c r="G21" i="7" s="1"/>
  <c r="J25" i="6"/>
  <c r="I25" i="6"/>
  <c r="D25" i="6"/>
  <c r="B25" i="6"/>
  <c r="I24" i="6"/>
  <c r="H24" i="6"/>
  <c r="G24" i="6"/>
  <c r="D24" i="6"/>
  <c r="B24" i="6"/>
  <c r="I23" i="6"/>
  <c r="G23" i="6"/>
  <c r="D23" i="6"/>
  <c r="B23" i="6"/>
  <c r="I22" i="6"/>
  <c r="B22" i="6"/>
  <c r="D22" i="6" s="1"/>
  <c r="I21" i="6"/>
  <c r="G21" i="6"/>
  <c r="B21" i="6"/>
  <c r="D21" i="6" s="1"/>
  <c r="I20" i="6"/>
  <c r="G20" i="6"/>
  <c r="D20" i="6"/>
  <c r="B20" i="6"/>
  <c r="J19" i="6"/>
  <c r="I19" i="6"/>
  <c r="B19" i="6"/>
  <c r="D19" i="6" s="1"/>
  <c r="I18" i="6"/>
  <c r="H18" i="6"/>
  <c r="G18" i="6"/>
  <c r="B18" i="6"/>
  <c r="D18" i="6" s="1"/>
  <c r="B10" i="6"/>
  <c r="B9" i="6"/>
  <c r="B8" i="6"/>
  <c r="H23" i="6" s="1"/>
  <c r="B7" i="6"/>
  <c r="J24" i="5"/>
  <c r="G24" i="5"/>
  <c r="B24" i="5"/>
  <c r="D24" i="5" s="1"/>
  <c r="J23" i="5"/>
  <c r="D23" i="5"/>
  <c r="B23" i="5"/>
  <c r="J22" i="5"/>
  <c r="I22" i="5"/>
  <c r="B22" i="5"/>
  <c r="D22" i="5" s="1"/>
  <c r="J21" i="5"/>
  <c r="H21" i="5"/>
  <c r="G21" i="5"/>
  <c r="B21" i="5"/>
  <c r="D21" i="5" s="1"/>
  <c r="J20" i="5"/>
  <c r="G20" i="5"/>
  <c r="D20" i="5"/>
  <c r="B20" i="5"/>
  <c r="J19" i="5"/>
  <c r="B19" i="5"/>
  <c r="D19" i="5" s="1"/>
  <c r="E19" i="5" s="1"/>
  <c r="F19" i="5" s="1"/>
  <c r="J18" i="5"/>
  <c r="G18" i="5"/>
  <c r="B18" i="5"/>
  <c r="D18" i="5" s="1"/>
  <c r="B10" i="5"/>
  <c r="B9" i="5"/>
  <c r="I21" i="5" s="1"/>
  <c r="B8" i="5"/>
  <c r="B7" i="5"/>
  <c r="I24" i="4"/>
  <c r="H24" i="4"/>
  <c r="D24" i="4"/>
  <c r="B24" i="4"/>
  <c r="H23" i="4"/>
  <c r="G23" i="4"/>
  <c r="B23" i="4"/>
  <c r="D23" i="4" s="1"/>
  <c r="H22" i="4"/>
  <c r="G22" i="4"/>
  <c r="B22" i="4"/>
  <c r="D22" i="4" s="1"/>
  <c r="D21" i="4"/>
  <c r="B21" i="4"/>
  <c r="D20" i="4"/>
  <c r="B20" i="4"/>
  <c r="D19" i="4"/>
  <c r="B19" i="4"/>
  <c r="D18" i="4"/>
  <c r="B18" i="4"/>
  <c r="B10" i="4"/>
  <c r="B9" i="4"/>
  <c r="B8" i="4"/>
  <c r="B7" i="4"/>
  <c r="H20" i="3"/>
  <c r="B20" i="3"/>
  <c r="D20" i="3" s="1"/>
  <c r="H19" i="3"/>
  <c r="B19" i="3"/>
  <c r="D19" i="3" s="1"/>
  <c r="H18" i="3"/>
  <c r="B18" i="3"/>
  <c r="D18" i="3" s="1"/>
  <c r="B10" i="3"/>
  <c r="B9" i="3"/>
  <c r="B8" i="3"/>
  <c r="B7" i="3"/>
  <c r="G18" i="3" s="1"/>
  <c r="E27" i="17" l="1"/>
  <c r="F27" i="17" s="1"/>
  <c r="M27" i="17" s="1"/>
  <c r="E20" i="16"/>
  <c r="F20" i="16" s="1"/>
  <c r="K20" i="16" s="1"/>
  <c r="E28" i="15"/>
  <c r="F28" i="15" s="1"/>
  <c r="K28" i="15" s="1"/>
  <c r="E25" i="15"/>
  <c r="F25" i="15" s="1"/>
  <c r="N25" i="15" s="1"/>
  <c r="E21" i="15"/>
  <c r="F21" i="15" s="1"/>
  <c r="N21" i="15" s="1"/>
  <c r="E20" i="14"/>
  <c r="F20" i="14" s="1"/>
  <c r="E27" i="14"/>
  <c r="F27" i="14" s="1"/>
  <c r="E23" i="13"/>
  <c r="F23" i="13" s="1"/>
  <c r="N23" i="13" s="1"/>
  <c r="E23" i="10"/>
  <c r="F23" i="10" s="1"/>
  <c r="M23" i="10" s="1"/>
  <c r="E26" i="9"/>
  <c r="F26" i="9" s="1"/>
  <c r="E18" i="9"/>
  <c r="F18" i="9" s="1"/>
  <c r="N18" i="9" s="1"/>
  <c r="E26" i="8"/>
  <c r="F26" i="8" s="1"/>
  <c r="N26" i="8" s="1"/>
  <c r="E24" i="8"/>
  <c r="F24" i="8" s="1"/>
  <c r="L24" i="8" s="1"/>
  <c r="E19" i="8"/>
  <c r="F19" i="8" s="1"/>
  <c r="L19" i="8" s="1"/>
  <c r="E20" i="8"/>
  <c r="F20" i="8" s="1"/>
  <c r="L20" i="8" s="1"/>
  <c r="E25" i="8"/>
  <c r="F25" i="8" s="1"/>
  <c r="M25" i="8" s="1"/>
  <c r="E21" i="7"/>
  <c r="F21" i="7" s="1"/>
  <c r="M21" i="7" s="1"/>
  <c r="E19" i="7"/>
  <c r="F19" i="7" s="1"/>
  <c r="M19" i="7" s="1"/>
  <c r="E22" i="6"/>
  <c r="F22" i="6" s="1"/>
  <c r="M22" i="6" s="1"/>
  <c r="E24" i="4"/>
  <c r="F24" i="4" s="1"/>
  <c r="M24" i="4" s="1"/>
  <c r="L25" i="8"/>
  <c r="E19" i="3"/>
  <c r="F19" i="3" s="1"/>
  <c r="E19" i="6"/>
  <c r="F19" i="6" s="1"/>
  <c r="M19" i="6" s="1"/>
  <c r="E20" i="7"/>
  <c r="F20" i="7" s="1"/>
  <c r="K20" i="7" s="1"/>
  <c r="E23" i="7"/>
  <c r="F23" i="7" s="1"/>
  <c r="K23" i="7" s="1"/>
  <c r="E24" i="5"/>
  <c r="F24" i="5" s="1"/>
  <c r="N24" i="5" s="1"/>
  <c r="L18" i="8"/>
  <c r="E18" i="3"/>
  <c r="D21" i="3"/>
  <c r="E20" i="3"/>
  <c r="F20" i="3" s="1"/>
  <c r="N22" i="8"/>
  <c r="L22" i="8"/>
  <c r="E21" i="5"/>
  <c r="F21" i="5" s="1"/>
  <c r="N21" i="5" s="1"/>
  <c r="E24" i="7"/>
  <c r="F24" i="7" s="1"/>
  <c r="M24" i="7" s="1"/>
  <c r="E22" i="4"/>
  <c r="F22" i="4" s="1"/>
  <c r="L22" i="4" s="1"/>
  <c r="E19" i="4"/>
  <c r="F19" i="4" s="1"/>
  <c r="N19" i="4" s="1"/>
  <c r="E21" i="4"/>
  <c r="F21" i="4" s="1"/>
  <c r="M21" i="4" s="1"/>
  <c r="D25" i="4"/>
  <c r="E20" i="4"/>
  <c r="F20" i="4" s="1"/>
  <c r="K20" i="4" s="1"/>
  <c r="E18" i="4"/>
  <c r="E18" i="11"/>
  <c r="E19" i="11"/>
  <c r="F19" i="11" s="1"/>
  <c r="M19" i="11" s="1"/>
  <c r="E24" i="11"/>
  <c r="F24" i="11" s="1"/>
  <c r="M24" i="11" s="1"/>
  <c r="E24" i="6"/>
  <c r="F24" i="6" s="1"/>
  <c r="M24" i="6" s="1"/>
  <c r="E18" i="7"/>
  <c r="D26" i="7"/>
  <c r="E25" i="7"/>
  <c r="F25" i="7" s="1"/>
  <c r="M25" i="7" s="1"/>
  <c r="E20" i="5"/>
  <c r="F20" i="5" s="1"/>
  <c r="L20" i="5" s="1"/>
  <c r="E23" i="5"/>
  <c r="F23" i="5" s="1"/>
  <c r="L23" i="5" s="1"/>
  <c r="D25" i="5"/>
  <c r="E18" i="5"/>
  <c r="N19" i="5"/>
  <c r="E23" i="4"/>
  <c r="F23" i="4" s="1"/>
  <c r="M23" i="4" s="1"/>
  <c r="E22" i="5"/>
  <c r="F22" i="5" s="1"/>
  <c r="M22" i="5" s="1"/>
  <c r="E21" i="6"/>
  <c r="F21" i="6" s="1"/>
  <c r="M21" i="6" s="1"/>
  <c r="E22" i="7"/>
  <c r="F22" i="7" s="1"/>
  <c r="M22" i="7" s="1"/>
  <c r="D26" i="6"/>
  <c r="E18" i="6"/>
  <c r="E25" i="6"/>
  <c r="F25" i="6" s="1"/>
  <c r="M25" i="6" s="1"/>
  <c r="E23" i="6"/>
  <c r="F23" i="6" s="1"/>
  <c r="M23" i="6" s="1"/>
  <c r="E20" i="6"/>
  <c r="F20" i="6" s="1"/>
  <c r="K20" i="6" s="1"/>
  <c r="E7" i="3"/>
  <c r="G18" i="4"/>
  <c r="G19" i="4"/>
  <c r="G20" i="4"/>
  <c r="G21" i="4"/>
  <c r="I23" i="4"/>
  <c r="J24" i="4"/>
  <c r="G25" i="7"/>
  <c r="G18" i="8"/>
  <c r="K18" i="8" s="1"/>
  <c r="G24" i="10"/>
  <c r="E21" i="11"/>
  <c r="F21" i="11" s="1"/>
  <c r="I18" i="3"/>
  <c r="I19" i="3"/>
  <c r="I20" i="3"/>
  <c r="H18" i="4"/>
  <c r="H19" i="4"/>
  <c r="H20" i="4"/>
  <c r="H21" i="4"/>
  <c r="I22" i="4"/>
  <c r="J23" i="4"/>
  <c r="H20" i="5"/>
  <c r="J18" i="6"/>
  <c r="J24" i="6"/>
  <c r="H25" i="7"/>
  <c r="E21" i="8"/>
  <c r="F21" i="8" s="1"/>
  <c r="E21" i="10"/>
  <c r="F21" i="10" s="1"/>
  <c r="M21" i="10" s="1"/>
  <c r="E28" i="10"/>
  <c r="F28" i="10" s="1"/>
  <c r="M28" i="10" s="1"/>
  <c r="E25" i="11"/>
  <c r="F25" i="11" s="1"/>
  <c r="M25" i="11" s="1"/>
  <c r="E27" i="12"/>
  <c r="F27" i="12" s="1"/>
  <c r="M27" i="12" s="1"/>
  <c r="E18" i="12"/>
  <c r="D29" i="12"/>
  <c r="E20" i="12"/>
  <c r="F20" i="12" s="1"/>
  <c r="N20" i="12" s="1"/>
  <c r="G19" i="3"/>
  <c r="J18" i="3"/>
  <c r="J19" i="3"/>
  <c r="J20" i="3"/>
  <c r="K23" i="3"/>
  <c r="I18" i="4"/>
  <c r="I19" i="4"/>
  <c r="I20" i="4"/>
  <c r="I21" i="4"/>
  <c r="J22" i="4"/>
  <c r="G19" i="5"/>
  <c r="K19" i="5" s="1"/>
  <c r="I20" i="5"/>
  <c r="G22" i="6"/>
  <c r="H21" i="7"/>
  <c r="D27" i="9"/>
  <c r="E20" i="9"/>
  <c r="F20" i="9" s="1"/>
  <c r="N20" i="9" s="1"/>
  <c r="D29" i="10"/>
  <c r="E18" i="10"/>
  <c r="E28" i="11"/>
  <c r="F28" i="11" s="1"/>
  <c r="M28" i="11" s="1"/>
  <c r="E22" i="11"/>
  <c r="F22" i="11" s="1"/>
  <c r="M22" i="11" s="1"/>
  <c r="E19" i="12"/>
  <c r="F19" i="12" s="1"/>
  <c r="L19" i="12" s="1"/>
  <c r="E22" i="9"/>
  <c r="F22" i="9" s="1"/>
  <c r="L22" i="9" s="1"/>
  <c r="E14" i="3"/>
  <c r="K18" i="3"/>
  <c r="K19" i="3"/>
  <c r="K20" i="3"/>
  <c r="J18" i="4"/>
  <c r="J19" i="4"/>
  <c r="J20" i="4"/>
  <c r="J21" i="4"/>
  <c r="H19" i="5"/>
  <c r="L20" i="6"/>
  <c r="H22" i="6"/>
  <c r="J23" i="6"/>
  <c r="E23" i="9"/>
  <c r="F23" i="9" s="1"/>
  <c r="N23" i="9" s="1"/>
  <c r="G18" i="10"/>
  <c r="E25" i="10"/>
  <c r="F25" i="10" s="1"/>
  <c r="M25" i="10" s="1"/>
  <c r="G28" i="10"/>
  <c r="E23" i="12"/>
  <c r="F23" i="12" s="1"/>
  <c r="N23" i="12" s="1"/>
  <c r="E28" i="12"/>
  <c r="F28" i="12" s="1"/>
  <c r="L28" i="12" s="1"/>
  <c r="E24" i="13"/>
  <c r="F24" i="13" s="1"/>
  <c r="N24" i="13" s="1"/>
  <c r="I19" i="5"/>
  <c r="M19" i="5" s="1"/>
  <c r="G24" i="7"/>
  <c r="H18" i="5"/>
  <c r="H24" i="5"/>
  <c r="H21" i="6"/>
  <c r="J22" i="6"/>
  <c r="H20" i="7"/>
  <c r="H24" i="7"/>
  <c r="G26" i="8"/>
  <c r="G25" i="8"/>
  <c r="G24" i="8"/>
  <c r="G23" i="8"/>
  <c r="G22" i="8"/>
  <c r="K22" i="8" s="1"/>
  <c r="G21" i="8"/>
  <c r="E23" i="8"/>
  <c r="F23" i="8" s="1"/>
  <c r="E21" i="9"/>
  <c r="F21" i="9" s="1"/>
  <c r="M21" i="9" s="1"/>
  <c r="E22" i="10"/>
  <c r="F22" i="10" s="1"/>
  <c r="M22" i="10" s="1"/>
  <c r="E24" i="12"/>
  <c r="F24" i="12" s="1"/>
  <c r="L24" i="12" s="1"/>
  <c r="E27" i="10"/>
  <c r="F27" i="10" s="1"/>
  <c r="M27" i="10" s="1"/>
  <c r="G20" i="3"/>
  <c r="K24" i="3"/>
  <c r="I18" i="5"/>
  <c r="G23" i="5"/>
  <c r="I24" i="5"/>
  <c r="G20" i="8"/>
  <c r="E19" i="10"/>
  <c r="F19" i="10" s="1"/>
  <c r="M19" i="10" s="1"/>
  <c r="E13" i="3"/>
  <c r="E12" i="3"/>
  <c r="H23" i="5"/>
  <c r="H20" i="6"/>
  <c r="J21" i="6"/>
  <c r="G19" i="7"/>
  <c r="G23" i="7"/>
  <c r="E24" i="9"/>
  <c r="F24" i="9" s="1"/>
  <c r="K24" i="9" s="1"/>
  <c r="E26" i="10"/>
  <c r="F26" i="10" s="1"/>
  <c r="M26" i="10" s="1"/>
  <c r="E20" i="11"/>
  <c r="F20" i="11" s="1"/>
  <c r="K20" i="11" s="1"/>
  <c r="E24" i="10"/>
  <c r="F24" i="10" s="1"/>
  <c r="M24" i="10" s="1"/>
  <c r="G22" i="5"/>
  <c r="I23" i="5"/>
  <c r="G19" i="6"/>
  <c r="G25" i="6"/>
  <c r="J25" i="7"/>
  <c r="J24" i="7"/>
  <c r="J23" i="7"/>
  <c r="J22" i="7"/>
  <c r="J21" i="7"/>
  <c r="J20" i="7"/>
  <c r="J19" i="7"/>
  <c r="J18" i="7"/>
  <c r="H19" i="7"/>
  <c r="H23" i="7"/>
  <c r="I26" i="8"/>
  <c r="I25" i="8"/>
  <c r="I24" i="8"/>
  <c r="I23" i="8"/>
  <c r="I22" i="8"/>
  <c r="M22" i="8" s="1"/>
  <c r="I21" i="8"/>
  <c r="I20" i="8"/>
  <c r="I19" i="8"/>
  <c r="I18" i="8"/>
  <c r="E19" i="9"/>
  <c r="F19" i="9" s="1"/>
  <c r="N19" i="9" s="1"/>
  <c r="G19" i="10"/>
  <c r="G25" i="10"/>
  <c r="G20" i="10"/>
  <c r="G21" i="10"/>
  <c r="G26" i="10"/>
  <c r="G22" i="10"/>
  <c r="G27" i="10"/>
  <c r="G23" i="10"/>
  <c r="K23" i="10" s="1"/>
  <c r="E27" i="11"/>
  <c r="F27" i="11" s="1"/>
  <c r="K27" i="11" s="1"/>
  <c r="D29" i="14"/>
  <c r="E18" i="14"/>
  <c r="E24" i="14"/>
  <c r="F24" i="14" s="1"/>
  <c r="N24" i="14" s="1"/>
  <c r="E28" i="14"/>
  <c r="F28" i="14" s="1"/>
  <c r="L28" i="14" s="1"/>
  <c r="E20" i="10"/>
  <c r="F20" i="10" s="1"/>
  <c r="M20" i="10" s="1"/>
  <c r="G24" i="4"/>
  <c r="L19" i="5"/>
  <c r="H22" i="5"/>
  <c r="H19" i="6"/>
  <c r="J20" i="6"/>
  <c r="H25" i="6"/>
  <c r="D27" i="8"/>
  <c r="G19" i="8"/>
  <c r="I19" i="9"/>
  <c r="I18" i="9"/>
  <c r="I20" i="9"/>
  <c r="I21" i="9"/>
  <c r="I22" i="9"/>
  <c r="I23" i="9"/>
  <c r="I24" i="9"/>
  <c r="I25" i="9"/>
  <c r="M25" i="9" s="1"/>
  <c r="I26" i="9"/>
  <c r="M26" i="9" s="1"/>
  <c r="E18" i="13"/>
  <c r="E26" i="13"/>
  <c r="F26" i="13" s="1"/>
  <c r="K26" i="13" s="1"/>
  <c r="E20" i="13"/>
  <c r="F20" i="13" s="1"/>
  <c r="N20" i="13" s="1"/>
  <c r="D29" i="13"/>
  <c r="E22" i="15"/>
  <c r="F22" i="15" s="1"/>
  <c r="M22" i="15" s="1"/>
  <c r="G26" i="9"/>
  <c r="J19" i="10"/>
  <c r="E22" i="12"/>
  <c r="F22" i="12" s="1"/>
  <c r="K22" i="12" s="1"/>
  <c r="I24" i="12"/>
  <c r="G18" i="13"/>
  <c r="E21" i="13"/>
  <c r="F21" i="13" s="1"/>
  <c r="E25" i="13"/>
  <c r="F25" i="13" s="1"/>
  <c r="E28" i="13"/>
  <c r="F28" i="13" s="1"/>
  <c r="L28" i="13" s="1"/>
  <c r="E23" i="14"/>
  <c r="F23" i="14" s="1"/>
  <c r="N23" i="14" s="1"/>
  <c r="H28" i="10"/>
  <c r="H27" i="10"/>
  <c r="H26" i="10"/>
  <c r="H25" i="10"/>
  <c r="H24" i="10"/>
  <c r="H23" i="10"/>
  <c r="H22" i="10"/>
  <c r="J18" i="10"/>
  <c r="J24" i="10"/>
  <c r="J28" i="10"/>
  <c r="E26" i="11"/>
  <c r="F26" i="11" s="1"/>
  <c r="M26" i="11" s="1"/>
  <c r="G22" i="16"/>
  <c r="G27" i="16"/>
  <c r="G24" i="16"/>
  <c r="G19" i="16"/>
  <c r="G26" i="16"/>
  <c r="G21" i="16"/>
  <c r="G23" i="16"/>
  <c r="G24" i="9"/>
  <c r="H25" i="9"/>
  <c r="E25" i="12"/>
  <c r="F25" i="12" s="1"/>
  <c r="E19" i="14"/>
  <c r="F19" i="14" s="1"/>
  <c r="M19" i="14" s="1"/>
  <c r="E21" i="16"/>
  <c r="F21" i="16" s="1"/>
  <c r="K21" i="16" s="1"/>
  <c r="J26" i="9"/>
  <c r="E22" i="16"/>
  <c r="F22" i="16" s="1"/>
  <c r="L22" i="16" s="1"/>
  <c r="E28" i="16"/>
  <c r="F28" i="16" s="1"/>
  <c r="M28" i="16" s="1"/>
  <c r="J25" i="9"/>
  <c r="J23" i="10"/>
  <c r="J27" i="10"/>
  <c r="H28" i="11"/>
  <c r="H27" i="11"/>
  <c r="H26" i="11"/>
  <c r="H25" i="11"/>
  <c r="H24" i="11"/>
  <c r="H23" i="11"/>
  <c r="H22" i="11"/>
  <c r="H21" i="11"/>
  <c r="H20" i="11"/>
  <c r="H19" i="11"/>
  <c r="H18" i="11"/>
  <c r="D29" i="11"/>
  <c r="E23" i="11"/>
  <c r="F23" i="11" s="1"/>
  <c r="M23" i="11" s="1"/>
  <c r="I20" i="12"/>
  <c r="E19" i="13"/>
  <c r="F19" i="13" s="1"/>
  <c r="E22" i="13"/>
  <c r="F22" i="13" s="1"/>
  <c r="M22" i="13" s="1"/>
  <c r="E25" i="14"/>
  <c r="F25" i="14" s="1"/>
  <c r="N25" i="14" s="1"/>
  <c r="E18" i="15"/>
  <c r="E23" i="15"/>
  <c r="F23" i="15" s="1"/>
  <c r="M23" i="15" s="1"/>
  <c r="G28" i="16"/>
  <c r="J24" i="9"/>
  <c r="E26" i="12"/>
  <c r="F26" i="12" s="1"/>
  <c r="L26" i="12" s="1"/>
  <c r="G19" i="13"/>
  <c r="G26" i="13"/>
  <c r="G20" i="13"/>
  <c r="G27" i="13"/>
  <c r="G21" i="13"/>
  <c r="G28" i="13"/>
  <c r="G22" i="13"/>
  <c r="G23" i="13"/>
  <c r="G24" i="13"/>
  <c r="E19" i="15"/>
  <c r="F19" i="15" s="1"/>
  <c r="L19" i="15" s="1"/>
  <c r="E23" i="16"/>
  <c r="F23" i="16" s="1"/>
  <c r="N23" i="16" s="1"/>
  <c r="J23" i="9"/>
  <c r="I21" i="12"/>
  <c r="I22" i="12"/>
  <c r="I23" i="12"/>
  <c r="I25" i="12"/>
  <c r="I26" i="12"/>
  <c r="I28" i="12"/>
  <c r="I18" i="12"/>
  <c r="E21" i="12"/>
  <c r="F21" i="12" s="1"/>
  <c r="E21" i="14"/>
  <c r="F21" i="14" s="1"/>
  <c r="M21" i="14" s="1"/>
  <c r="E27" i="15"/>
  <c r="F27" i="15" s="1"/>
  <c r="M27" i="15" s="1"/>
  <c r="E18" i="16"/>
  <c r="D29" i="16"/>
  <c r="E24" i="16"/>
  <c r="F24" i="16" s="1"/>
  <c r="L24" i="16" s="1"/>
  <c r="E22" i="17"/>
  <c r="F22" i="17" s="1"/>
  <c r="K22" i="17" s="1"/>
  <c r="G18" i="9"/>
  <c r="G19" i="9"/>
  <c r="H20" i="9"/>
  <c r="J22" i="9"/>
  <c r="N25" i="9"/>
  <c r="J22" i="10"/>
  <c r="J26" i="10"/>
  <c r="J28" i="11"/>
  <c r="J27" i="11"/>
  <c r="J26" i="11"/>
  <c r="J25" i="11"/>
  <c r="J24" i="11"/>
  <c r="J23" i="11"/>
  <c r="J22" i="11"/>
  <c r="J21" i="11"/>
  <c r="J20" i="11"/>
  <c r="J19" i="11"/>
  <c r="J18" i="11"/>
  <c r="E26" i="14"/>
  <c r="F26" i="14" s="1"/>
  <c r="I28" i="15"/>
  <c r="I27" i="15"/>
  <c r="I24" i="15"/>
  <c r="I21" i="15"/>
  <c r="I18" i="15"/>
  <c r="I25" i="15"/>
  <c r="I22" i="15"/>
  <c r="I19" i="15"/>
  <c r="E20" i="15"/>
  <c r="F20" i="15" s="1"/>
  <c r="G18" i="16"/>
  <c r="H18" i="9"/>
  <c r="J21" i="9"/>
  <c r="H21" i="10"/>
  <c r="E27" i="13"/>
  <c r="F27" i="13" s="1"/>
  <c r="K27" i="13" s="1"/>
  <c r="I20" i="15"/>
  <c r="E24" i="15"/>
  <c r="F24" i="15" s="1"/>
  <c r="E25" i="16"/>
  <c r="F25" i="16" s="1"/>
  <c r="N25" i="16" s="1"/>
  <c r="J18" i="8"/>
  <c r="J19" i="8"/>
  <c r="J20" i="8"/>
  <c r="N20" i="8" s="1"/>
  <c r="J21" i="8"/>
  <c r="J22" i="8"/>
  <c r="J23" i="8"/>
  <c r="J24" i="8"/>
  <c r="J25" i="8"/>
  <c r="N25" i="8" s="1"/>
  <c r="L26" i="9"/>
  <c r="L25" i="9"/>
  <c r="J20" i="9"/>
  <c r="H20" i="10"/>
  <c r="E22" i="14"/>
  <c r="F22" i="14" s="1"/>
  <c r="E19" i="16"/>
  <c r="F19" i="16" s="1"/>
  <c r="L19" i="16" s="1"/>
  <c r="G25" i="16"/>
  <c r="G28" i="12"/>
  <c r="H19" i="15"/>
  <c r="H28" i="15"/>
  <c r="J25" i="16"/>
  <c r="J28" i="16"/>
  <c r="E20" i="17"/>
  <c r="F20" i="17" s="1"/>
  <c r="K20" i="17" s="1"/>
  <c r="G18" i="11"/>
  <c r="G19" i="11"/>
  <c r="G20" i="11"/>
  <c r="G21" i="11"/>
  <c r="K21" i="11" s="1"/>
  <c r="G22" i="11"/>
  <c r="G23" i="11"/>
  <c r="G24" i="11"/>
  <c r="G25" i="11"/>
  <c r="G26" i="11"/>
  <c r="G27" i="11"/>
  <c r="G28" i="11"/>
  <c r="G27" i="12"/>
  <c r="J24" i="13"/>
  <c r="H28" i="14"/>
  <c r="H27" i="14"/>
  <c r="H26" i="14"/>
  <c r="H25" i="14"/>
  <c r="H24" i="14"/>
  <c r="H23" i="14"/>
  <c r="H22" i="14"/>
  <c r="H21" i="14"/>
  <c r="H20" i="14"/>
  <c r="H19" i="14"/>
  <c r="H18" i="14"/>
  <c r="I20" i="14"/>
  <c r="I24" i="14"/>
  <c r="I28" i="14"/>
  <c r="D29" i="15"/>
  <c r="H22" i="15"/>
  <c r="H25" i="15"/>
  <c r="J18" i="16"/>
  <c r="E25" i="17"/>
  <c r="F25" i="17" s="1"/>
  <c r="M25" i="17" s="1"/>
  <c r="G26" i="12"/>
  <c r="H27" i="12"/>
  <c r="J20" i="14"/>
  <c r="J24" i="14"/>
  <c r="J28" i="14"/>
  <c r="E26" i="16"/>
  <c r="F26" i="16" s="1"/>
  <c r="L26" i="16" s="1"/>
  <c r="E18" i="17"/>
  <c r="D29" i="17"/>
  <c r="I28" i="13"/>
  <c r="I27" i="13"/>
  <c r="I26" i="13"/>
  <c r="I25" i="13"/>
  <c r="I24" i="13"/>
  <c r="I23" i="13"/>
  <c r="I22" i="13"/>
  <c r="I21" i="13"/>
  <c r="I20" i="13"/>
  <c r="I19" i="13"/>
  <c r="I18" i="13"/>
  <c r="N20" i="16"/>
  <c r="E23" i="17"/>
  <c r="F23" i="17" s="1"/>
  <c r="L23" i="17" s="1"/>
  <c r="G24" i="12"/>
  <c r="H25" i="12"/>
  <c r="I19" i="14"/>
  <c r="L20" i="14"/>
  <c r="I23" i="14"/>
  <c r="L24" i="14"/>
  <c r="I27" i="14"/>
  <c r="J21" i="16"/>
  <c r="J26" i="16"/>
  <c r="E28" i="17"/>
  <c r="F28" i="17" s="1"/>
  <c r="M28" i="17" s="1"/>
  <c r="J28" i="12"/>
  <c r="J27" i="12"/>
  <c r="J26" i="12"/>
  <c r="J25" i="12"/>
  <c r="J24" i="12"/>
  <c r="J23" i="12"/>
  <c r="J22" i="12"/>
  <c r="J21" i="12"/>
  <c r="J20" i="12"/>
  <c r="J19" i="12"/>
  <c r="J18" i="12"/>
  <c r="G23" i="12"/>
  <c r="H24" i="12"/>
  <c r="J22" i="13"/>
  <c r="J28" i="13"/>
  <c r="N20" i="14"/>
  <c r="J19" i="14"/>
  <c r="M20" i="14"/>
  <c r="J23" i="14"/>
  <c r="J27" i="14"/>
  <c r="H21" i="15"/>
  <c r="H24" i="15"/>
  <c r="H27" i="15"/>
  <c r="E21" i="17"/>
  <c r="F21" i="17" s="1"/>
  <c r="K21" i="17" s="1"/>
  <c r="M23" i="13"/>
  <c r="E27" i="16"/>
  <c r="F27" i="16" s="1"/>
  <c r="K27" i="16" s="1"/>
  <c r="H28" i="17"/>
  <c r="H27" i="17"/>
  <c r="H26" i="17"/>
  <c r="H25" i="17"/>
  <c r="H24" i="17"/>
  <c r="H23" i="17"/>
  <c r="H22" i="17"/>
  <c r="H21" i="17"/>
  <c r="H20" i="17"/>
  <c r="H19" i="17"/>
  <c r="H18" i="17"/>
  <c r="E26" i="17"/>
  <c r="F26" i="17" s="1"/>
  <c r="L26" i="17" s="1"/>
  <c r="I18" i="14"/>
  <c r="I22" i="14"/>
  <c r="I26" i="14"/>
  <c r="J24" i="16"/>
  <c r="E19" i="17"/>
  <c r="F19" i="17" s="1"/>
  <c r="L19" i="17" s="1"/>
  <c r="G20" i="12"/>
  <c r="H21" i="12"/>
  <c r="J18" i="14"/>
  <c r="J22" i="14"/>
  <c r="J26" i="14"/>
  <c r="E26" i="15"/>
  <c r="F26" i="15" s="1"/>
  <c r="M26" i="15" s="1"/>
  <c r="J27" i="16"/>
  <c r="E24" i="17"/>
  <c r="F24" i="17" s="1"/>
  <c r="M24" i="17" s="1"/>
  <c r="G19" i="12"/>
  <c r="H20" i="12"/>
  <c r="J20" i="13"/>
  <c r="J26" i="13"/>
  <c r="H20" i="15"/>
  <c r="H23" i="15"/>
  <c r="H26" i="15"/>
  <c r="J22" i="16"/>
  <c r="H19" i="16"/>
  <c r="H20" i="16"/>
  <c r="H21" i="16"/>
  <c r="H22" i="16"/>
  <c r="H23" i="16"/>
  <c r="H24" i="16"/>
  <c r="H25" i="16"/>
  <c r="H26" i="16"/>
  <c r="H27" i="16"/>
  <c r="H28" i="16"/>
  <c r="G18" i="17"/>
  <c r="G19" i="17"/>
  <c r="G20" i="17"/>
  <c r="G21" i="17"/>
  <c r="G22" i="17"/>
  <c r="G23" i="17"/>
  <c r="G24" i="17"/>
  <c r="G25" i="17"/>
  <c r="G26" i="17"/>
  <c r="G27" i="17"/>
  <c r="G28" i="17"/>
  <c r="I18" i="16"/>
  <c r="I19" i="16"/>
  <c r="I20" i="16"/>
  <c r="M20" i="16" s="1"/>
  <c r="I21" i="16"/>
  <c r="I22" i="16"/>
  <c r="I23" i="16"/>
  <c r="I24" i="16"/>
  <c r="I25" i="16"/>
  <c r="I26" i="16"/>
  <c r="I27" i="16"/>
  <c r="I28" i="16"/>
  <c r="L20" i="16"/>
  <c r="K27" i="17"/>
  <c r="M23" i="17"/>
  <c r="N31" i="17"/>
  <c r="N28" i="17"/>
  <c r="N29" i="17" s="1"/>
  <c r="H20" i="13"/>
  <c r="H21" i="13"/>
  <c r="H22" i="13"/>
  <c r="H23" i="13"/>
  <c r="H24" i="13"/>
  <c r="H25" i="13"/>
  <c r="H26" i="13"/>
  <c r="H27" i="13"/>
  <c r="G18" i="14"/>
  <c r="G19" i="14"/>
  <c r="G20" i="14"/>
  <c r="K20" i="14" s="1"/>
  <c r="G21" i="14"/>
  <c r="G22" i="14"/>
  <c r="G23" i="14"/>
  <c r="G24" i="14"/>
  <c r="G25" i="14"/>
  <c r="G26" i="14"/>
  <c r="G27" i="14"/>
  <c r="G28" i="14"/>
  <c r="G18" i="15"/>
  <c r="G19" i="15"/>
  <c r="G20" i="15"/>
  <c r="G21" i="15"/>
  <c r="G22" i="15"/>
  <c r="G23" i="15"/>
  <c r="G24" i="15"/>
  <c r="G25" i="15"/>
  <c r="G26" i="15"/>
  <c r="G27" i="15"/>
  <c r="L28" i="15" l="1"/>
  <c r="N21" i="14"/>
  <c r="M25" i="14"/>
  <c r="K21" i="13"/>
  <c r="M20" i="12"/>
  <c r="N23" i="10"/>
  <c r="L23" i="10"/>
  <c r="L27" i="16"/>
  <c r="K23" i="17"/>
  <c r="L25" i="17"/>
  <c r="L27" i="17"/>
  <c r="K25" i="17"/>
  <c r="M26" i="17"/>
  <c r="M20" i="17"/>
  <c r="K26" i="17"/>
  <c r="M19" i="17"/>
  <c r="M21" i="17"/>
  <c r="L21" i="17"/>
  <c r="K28" i="17"/>
  <c r="L28" i="17"/>
  <c r="K19" i="17"/>
  <c r="L20" i="17"/>
  <c r="L21" i="16"/>
  <c r="N24" i="16"/>
  <c r="N21" i="16"/>
  <c r="N22" i="16"/>
  <c r="K23" i="16"/>
  <c r="L23" i="16"/>
  <c r="L25" i="16"/>
  <c r="N19" i="16"/>
  <c r="N28" i="15"/>
  <c r="M28" i="15"/>
  <c r="L27" i="15"/>
  <c r="L23" i="15"/>
  <c r="L21" i="15"/>
  <c r="L25" i="15"/>
  <c r="L22" i="15"/>
  <c r="L20" i="15"/>
  <c r="K25" i="15"/>
  <c r="M25" i="15"/>
  <c r="K21" i="15"/>
  <c r="M21" i="15"/>
  <c r="K27" i="14"/>
  <c r="K23" i="13"/>
  <c r="N27" i="14"/>
  <c r="M28" i="14"/>
  <c r="N26" i="14"/>
  <c r="N28" i="14"/>
  <c r="N19" i="14"/>
  <c r="M24" i="14"/>
  <c r="N22" i="14"/>
  <c r="M27" i="14"/>
  <c r="L27" i="14"/>
  <c r="L21" i="14"/>
  <c r="L25" i="14"/>
  <c r="M23" i="14"/>
  <c r="M24" i="13"/>
  <c r="L23" i="13"/>
  <c r="K24" i="13"/>
  <c r="M26" i="13"/>
  <c r="M19" i="13"/>
  <c r="M20" i="13"/>
  <c r="M28" i="13"/>
  <c r="N26" i="13"/>
  <c r="N28" i="13"/>
  <c r="K20" i="13"/>
  <c r="N22" i="13"/>
  <c r="K22" i="13"/>
  <c r="K28" i="13"/>
  <c r="N21" i="12"/>
  <c r="L27" i="12"/>
  <c r="M21" i="12"/>
  <c r="M19" i="12"/>
  <c r="M28" i="12"/>
  <c r="K27" i="12"/>
  <c r="N25" i="12"/>
  <c r="M24" i="12"/>
  <c r="K24" i="12"/>
  <c r="M25" i="12"/>
  <c r="K19" i="12"/>
  <c r="L23" i="11"/>
  <c r="N21" i="11"/>
  <c r="N20" i="11"/>
  <c r="K22" i="11"/>
  <c r="N28" i="11"/>
  <c r="L25" i="11"/>
  <c r="L28" i="11"/>
  <c r="K28" i="11"/>
  <c r="N26" i="11"/>
  <c r="L24" i="11"/>
  <c r="L26" i="11"/>
  <c r="N22" i="11"/>
  <c r="N24" i="11"/>
  <c r="K26" i="11"/>
  <c r="N25" i="11"/>
  <c r="K23" i="11"/>
  <c r="L22" i="11"/>
  <c r="K25" i="11"/>
  <c r="K24" i="11"/>
  <c r="N27" i="11"/>
  <c r="N26" i="9"/>
  <c r="K26" i="9"/>
  <c r="K23" i="9"/>
  <c r="N27" i="10"/>
  <c r="N21" i="10"/>
  <c r="N20" i="10"/>
  <c r="L21" i="10"/>
  <c r="L28" i="10"/>
  <c r="N28" i="10"/>
  <c r="K28" i="10"/>
  <c r="K27" i="10"/>
  <c r="K26" i="10"/>
  <c r="L26" i="10"/>
  <c r="L27" i="10"/>
  <c r="L19" i="10"/>
  <c r="N24" i="10"/>
  <c r="L22" i="10"/>
  <c r="N26" i="10"/>
  <c r="N19" i="10"/>
  <c r="K19" i="10"/>
  <c r="K22" i="10"/>
  <c r="L24" i="10"/>
  <c r="K21" i="10"/>
  <c r="N22" i="10"/>
  <c r="L20" i="10"/>
  <c r="K24" i="10"/>
  <c r="K22" i="9"/>
  <c r="M22" i="9"/>
  <c r="L21" i="9"/>
  <c r="M18" i="9"/>
  <c r="N22" i="6"/>
  <c r="K19" i="6"/>
  <c r="K22" i="6"/>
  <c r="L19" i="6"/>
  <c r="K20" i="8"/>
  <c r="M20" i="8"/>
  <c r="M24" i="8"/>
  <c r="M26" i="8"/>
  <c r="L26" i="8"/>
  <c r="K26" i="8"/>
  <c r="L22" i="5"/>
  <c r="L21" i="7"/>
  <c r="N21" i="7"/>
  <c r="K25" i="8"/>
  <c r="K21" i="7"/>
  <c r="L18" i="9"/>
  <c r="M23" i="9"/>
  <c r="L19" i="9"/>
  <c r="L23" i="9"/>
  <c r="K29" i="9"/>
  <c r="K30" i="9" s="1"/>
  <c r="E14" i="9" s="1"/>
  <c r="M19" i="9"/>
  <c r="N24" i="4"/>
  <c r="K23" i="4"/>
  <c r="N22" i="4"/>
  <c r="L29" i="8"/>
  <c r="L30" i="8" s="1"/>
  <c r="F14" i="8" s="1"/>
  <c r="N19" i="8"/>
  <c r="N24" i="8"/>
  <c r="K24" i="8"/>
  <c r="M19" i="8"/>
  <c r="K19" i="8"/>
  <c r="N29" i="8"/>
  <c r="N30" i="8" s="1"/>
  <c r="H14" i="8" s="1"/>
  <c r="M21" i="8"/>
  <c r="M29" i="8"/>
  <c r="M30" i="8" s="1"/>
  <c r="G14" i="8" s="1"/>
  <c r="K29" i="8"/>
  <c r="K30" i="8" s="1"/>
  <c r="E14" i="8" s="1"/>
  <c r="K23" i="8"/>
  <c r="M23" i="8"/>
  <c r="K19" i="7"/>
  <c r="N25" i="7"/>
  <c r="L19" i="7"/>
  <c r="L25" i="7"/>
  <c r="K25" i="7"/>
  <c r="N19" i="7"/>
  <c r="N20" i="7"/>
  <c r="L22" i="6"/>
  <c r="K22" i="7"/>
  <c r="L22" i="7"/>
  <c r="N22" i="7"/>
  <c r="L24" i="7"/>
  <c r="K24" i="7"/>
  <c r="N24" i="7"/>
  <c r="N24" i="6"/>
  <c r="K24" i="6"/>
  <c r="N19" i="6"/>
  <c r="K21" i="5"/>
  <c r="M21" i="5"/>
  <c r="L24" i="6"/>
  <c r="N25" i="6"/>
  <c r="L23" i="6"/>
  <c r="L25" i="6"/>
  <c r="N21" i="6"/>
  <c r="L21" i="6"/>
  <c r="N23" i="6"/>
  <c r="K21" i="6"/>
  <c r="K25" i="6"/>
  <c r="K23" i="6"/>
  <c r="M20" i="5"/>
  <c r="L21" i="5"/>
  <c r="L24" i="5"/>
  <c r="K22" i="4"/>
  <c r="L24" i="4"/>
  <c r="K24" i="4"/>
  <c r="M19" i="4"/>
  <c r="N21" i="4"/>
  <c r="K21" i="4"/>
  <c r="M22" i="4"/>
  <c r="K19" i="4"/>
  <c r="M20" i="4"/>
  <c r="N20" i="4"/>
  <c r="K21" i="3"/>
  <c r="L22" i="17"/>
  <c r="L28" i="16"/>
  <c r="L24" i="9"/>
  <c r="M25" i="16"/>
  <c r="M23" i="16"/>
  <c r="N19" i="13"/>
  <c r="L19" i="13"/>
  <c r="N28" i="12"/>
  <c r="K28" i="12"/>
  <c r="M24" i="5"/>
  <c r="N18" i="8"/>
  <c r="N25" i="13"/>
  <c r="L25" i="13"/>
  <c r="F18" i="10"/>
  <c r="E29" i="10"/>
  <c r="F18" i="5"/>
  <c r="E25" i="5"/>
  <c r="E25" i="4"/>
  <c r="F18" i="4"/>
  <c r="N26" i="12"/>
  <c r="L24" i="17"/>
  <c r="M24" i="16"/>
  <c r="M22" i="16"/>
  <c r="K22" i="16"/>
  <c r="L21" i="13"/>
  <c r="N21" i="13"/>
  <c r="M21" i="13"/>
  <c r="K20" i="10"/>
  <c r="L20" i="12"/>
  <c r="K20" i="12"/>
  <c r="L20" i="4"/>
  <c r="M23" i="7"/>
  <c r="L23" i="7"/>
  <c r="K23" i="12"/>
  <c r="E29" i="17"/>
  <c r="F18" i="17"/>
  <c r="L27" i="13"/>
  <c r="N27" i="13"/>
  <c r="M27" i="13"/>
  <c r="F18" i="16"/>
  <c r="E29" i="16"/>
  <c r="K24" i="16"/>
  <c r="M18" i="8"/>
  <c r="F18" i="12"/>
  <c r="N31" i="12" s="1"/>
  <c r="N32" i="12" s="1"/>
  <c r="E29" i="12"/>
  <c r="N20" i="5"/>
  <c r="K20" i="5"/>
  <c r="E29" i="11"/>
  <c r="F18" i="11"/>
  <c r="L21" i="4"/>
  <c r="M20" i="7"/>
  <c r="L20" i="7"/>
  <c r="M20" i="9"/>
  <c r="K20" i="9"/>
  <c r="M22" i="17"/>
  <c r="M26" i="16"/>
  <c r="N27" i="15"/>
  <c r="K27" i="15"/>
  <c r="K19" i="13"/>
  <c r="K25" i="16"/>
  <c r="L25" i="10"/>
  <c r="N22" i="12"/>
  <c r="L22" i="12"/>
  <c r="N22" i="15"/>
  <c r="K22" i="15"/>
  <c r="N24" i="12"/>
  <c r="F27" i="9"/>
  <c r="L29" i="9"/>
  <c r="L30" i="9" s="1"/>
  <c r="K18" i="9"/>
  <c r="L19" i="4"/>
  <c r="K24" i="5"/>
  <c r="K24" i="17"/>
  <c r="N26" i="15"/>
  <c r="K26" i="15"/>
  <c r="M23" i="12"/>
  <c r="N20" i="15"/>
  <c r="K20" i="15"/>
  <c r="N19" i="11"/>
  <c r="K21" i="14"/>
  <c r="K26" i="16"/>
  <c r="K28" i="14"/>
  <c r="E27" i="9"/>
  <c r="N20" i="3"/>
  <c r="M20" i="3"/>
  <c r="L20" i="3"/>
  <c r="N19" i="3"/>
  <c r="M19" i="3"/>
  <c r="L19" i="3"/>
  <c r="K26" i="12"/>
  <c r="K19" i="11"/>
  <c r="K25" i="13"/>
  <c r="L20" i="13"/>
  <c r="M29" i="9"/>
  <c r="M30" i="9" s="1"/>
  <c r="K24" i="14"/>
  <c r="K25" i="10"/>
  <c r="N21" i="9"/>
  <c r="N27" i="12"/>
  <c r="N22" i="5"/>
  <c r="K22" i="5"/>
  <c r="N24" i="15"/>
  <c r="K24" i="15"/>
  <c r="N19" i="15"/>
  <c r="K19" i="15"/>
  <c r="K23" i="5"/>
  <c r="N23" i="5"/>
  <c r="L20" i="9"/>
  <c r="K26" i="14"/>
  <c r="M26" i="14"/>
  <c r="L26" i="14"/>
  <c r="K21" i="12"/>
  <c r="L21" i="12"/>
  <c r="N23" i="15"/>
  <c r="K23" i="15"/>
  <c r="M21" i="16"/>
  <c r="K28" i="16"/>
  <c r="N25" i="10"/>
  <c r="L26" i="13"/>
  <c r="E29" i="14"/>
  <c r="F18" i="14"/>
  <c r="L23" i="8"/>
  <c r="N23" i="8"/>
  <c r="M20" i="6"/>
  <c r="N20" i="6"/>
  <c r="N23" i="4"/>
  <c r="L23" i="4"/>
  <c r="E21" i="3"/>
  <c r="F18" i="3"/>
  <c r="L24" i="15"/>
  <c r="L23" i="12"/>
  <c r="M27" i="16"/>
  <c r="N26" i="16"/>
  <c r="F18" i="15"/>
  <c r="E29" i="15"/>
  <c r="L19" i="14"/>
  <c r="K19" i="14"/>
  <c r="F18" i="13"/>
  <c r="E29" i="13"/>
  <c r="N23" i="7"/>
  <c r="M22" i="12"/>
  <c r="N22" i="9"/>
  <c r="F27" i="8"/>
  <c r="N27" i="16"/>
  <c r="M19" i="16"/>
  <c r="M19" i="15"/>
  <c r="M25" i="13"/>
  <c r="N23" i="11"/>
  <c r="K25" i="14"/>
  <c r="L25" i="12"/>
  <c r="K25" i="12"/>
  <c r="M27" i="11"/>
  <c r="L27" i="11"/>
  <c r="N19" i="12"/>
  <c r="E27" i="8"/>
  <c r="M24" i="15"/>
  <c r="L26" i="15"/>
  <c r="N28" i="16"/>
  <c r="K22" i="14"/>
  <c r="M22" i="14"/>
  <c r="L22" i="14"/>
  <c r="N24" i="9"/>
  <c r="M20" i="15"/>
  <c r="M26" i="12"/>
  <c r="L22" i="13"/>
  <c r="N29" i="9"/>
  <c r="N30" i="9" s="1"/>
  <c r="K19" i="16"/>
  <c r="L23" i="14"/>
  <c r="K23" i="14"/>
  <c r="M24" i="9"/>
  <c r="L19" i="11"/>
  <c r="K19" i="9"/>
  <c r="L20" i="11"/>
  <c r="M20" i="11"/>
  <c r="K21" i="9"/>
  <c r="L24" i="13"/>
  <c r="M23" i="5"/>
  <c r="N21" i="8"/>
  <c r="L21" i="8"/>
  <c r="K21" i="8"/>
  <c r="M21" i="11"/>
  <c r="L21" i="11"/>
  <c r="F18" i="6"/>
  <c r="E26" i="6"/>
  <c r="E26" i="7"/>
  <c r="F18" i="7"/>
  <c r="N28" i="7" s="1"/>
  <c r="N29" i="7" s="1"/>
  <c r="N27" i="9" l="1"/>
  <c r="M27" i="9"/>
  <c r="L27" i="9"/>
  <c r="K27" i="8"/>
  <c r="L27" i="8"/>
  <c r="F13" i="8" s="1"/>
  <c r="M27" i="8"/>
  <c r="E4" i="8" s="1"/>
  <c r="E5" i="8" s="1"/>
  <c r="E8" i="8" s="1"/>
  <c r="E4" i="9"/>
  <c r="E5" i="9" s="1"/>
  <c r="E8" i="9" s="1"/>
  <c r="G12" i="9"/>
  <c r="G13" i="9"/>
  <c r="F12" i="9"/>
  <c r="F13" i="9"/>
  <c r="E12" i="8"/>
  <c r="E13" i="8"/>
  <c r="H14" i="7"/>
  <c r="H14" i="12"/>
  <c r="F25" i="4"/>
  <c r="L18" i="4"/>
  <c r="L25" i="4" s="1"/>
  <c r="L27" i="4"/>
  <c r="L28" i="4" s="1"/>
  <c r="K27" i="4"/>
  <c r="K28" i="4" s="1"/>
  <c r="N27" i="4"/>
  <c r="N28" i="4" s="1"/>
  <c r="M27" i="4"/>
  <c r="M28" i="4" s="1"/>
  <c r="M18" i="4"/>
  <c r="M25" i="4" s="1"/>
  <c r="K18" i="4"/>
  <c r="K25" i="4" s="1"/>
  <c r="N18" i="4"/>
  <c r="N25" i="4" s="1"/>
  <c r="N31" i="13"/>
  <c r="N32" i="13" s="1"/>
  <c r="L31" i="13"/>
  <c r="L32" i="13" s="1"/>
  <c r="L18" i="13"/>
  <c r="L29" i="13" s="1"/>
  <c r="F29" i="13"/>
  <c r="K18" i="13"/>
  <c r="K29" i="13" s="1"/>
  <c r="M18" i="13"/>
  <c r="M29" i="13" s="1"/>
  <c r="K31" i="13"/>
  <c r="K32" i="13" s="1"/>
  <c r="N18" i="13"/>
  <c r="N29" i="13" s="1"/>
  <c r="M31" i="13"/>
  <c r="M32" i="13" s="1"/>
  <c r="F21" i="3"/>
  <c r="N18" i="3"/>
  <c r="N21" i="3" s="1"/>
  <c r="M18" i="3"/>
  <c r="M21" i="3" s="1"/>
  <c r="M23" i="3"/>
  <c r="M24" i="3" s="1"/>
  <c r="L18" i="3"/>
  <c r="L21" i="3" s="1"/>
  <c r="L23" i="3"/>
  <c r="L24" i="3" s="1"/>
  <c r="N23" i="3"/>
  <c r="N24" i="3" s="1"/>
  <c r="F29" i="16"/>
  <c r="L31" i="16"/>
  <c r="L32" i="16" s="1"/>
  <c r="M18" i="16"/>
  <c r="M29" i="16" s="1"/>
  <c r="M31" i="16"/>
  <c r="M32" i="16" s="1"/>
  <c r="K18" i="16"/>
  <c r="K29" i="16" s="1"/>
  <c r="N31" i="16"/>
  <c r="N32" i="16" s="1"/>
  <c r="L18" i="16"/>
  <c r="L29" i="16" s="1"/>
  <c r="K31" i="16"/>
  <c r="K32" i="16" s="1"/>
  <c r="N18" i="16"/>
  <c r="N29" i="16" s="1"/>
  <c r="G13" i="8"/>
  <c r="N18" i="5"/>
  <c r="N25" i="5" s="1"/>
  <c r="L27" i="5"/>
  <c r="L28" i="5" s="1"/>
  <c r="F25" i="5"/>
  <c r="K18" i="5"/>
  <c r="K25" i="5" s="1"/>
  <c r="N27" i="5"/>
  <c r="N28" i="5" s="1"/>
  <c r="L18" i="5"/>
  <c r="L25" i="5" s="1"/>
  <c r="M18" i="5"/>
  <c r="M25" i="5" s="1"/>
  <c r="K27" i="5"/>
  <c r="K28" i="5" s="1"/>
  <c r="M27" i="5"/>
  <c r="M28" i="5" s="1"/>
  <c r="F14" i="9"/>
  <c r="F26" i="6"/>
  <c r="M18" i="6"/>
  <c r="M26" i="6" s="1"/>
  <c r="K18" i="6"/>
  <c r="K26" i="6" s="1"/>
  <c r="L28" i="6"/>
  <c r="L29" i="6" s="1"/>
  <c r="K28" i="6"/>
  <c r="K29" i="6" s="1"/>
  <c r="N18" i="6"/>
  <c r="N26" i="6" s="1"/>
  <c r="N28" i="6"/>
  <c r="N29" i="6" s="1"/>
  <c r="M28" i="6"/>
  <c r="M29" i="6" s="1"/>
  <c r="L18" i="6"/>
  <c r="L26" i="6" s="1"/>
  <c r="F29" i="12"/>
  <c r="M18" i="12"/>
  <c r="M29" i="12" s="1"/>
  <c r="K31" i="12"/>
  <c r="K32" i="12" s="1"/>
  <c r="L18" i="12"/>
  <c r="L29" i="12" s="1"/>
  <c r="N18" i="12"/>
  <c r="N29" i="12" s="1"/>
  <c r="M31" i="12"/>
  <c r="M32" i="12" s="1"/>
  <c r="K18" i="12"/>
  <c r="K29" i="12" s="1"/>
  <c r="L31" i="12"/>
  <c r="L32" i="12" s="1"/>
  <c r="K31" i="15"/>
  <c r="K32" i="15" s="1"/>
  <c r="N18" i="15"/>
  <c r="N29" i="15" s="1"/>
  <c r="L18" i="15"/>
  <c r="L29" i="15" s="1"/>
  <c r="K18" i="15"/>
  <c r="K29" i="15" s="1"/>
  <c r="F29" i="15"/>
  <c r="M18" i="15"/>
  <c r="M29" i="15" s="1"/>
  <c r="M31" i="15"/>
  <c r="M32" i="15" s="1"/>
  <c r="L31" i="15"/>
  <c r="L32" i="15" s="1"/>
  <c r="N31" i="15"/>
  <c r="N32" i="15" s="1"/>
  <c r="M18" i="11"/>
  <c r="M29" i="11" s="1"/>
  <c r="F29" i="11"/>
  <c r="K31" i="11"/>
  <c r="K32" i="11" s="1"/>
  <c r="M31" i="11"/>
  <c r="M32" i="11" s="1"/>
  <c r="K18" i="11"/>
  <c r="K29" i="11" s="1"/>
  <c r="L31" i="11"/>
  <c r="L32" i="11" s="1"/>
  <c r="L18" i="11"/>
  <c r="L29" i="11" s="1"/>
  <c r="N18" i="11"/>
  <c r="N29" i="11" s="1"/>
  <c r="N31" i="11"/>
  <c r="N32" i="11" s="1"/>
  <c r="M31" i="10"/>
  <c r="M32" i="10" s="1"/>
  <c r="F29" i="10"/>
  <c r="M18" i="10"/>
  <c r="M29" i="10" s="1"/>
  <c r="N18" i="10"/>
  <c r="N29" i="10" s="1"/>
  <c r="K31" i="10"/>
  <c r="K32" i="10" s="1"/>
  <c r="L18" i="10"/>
  <c r="L29" i="10" s="1"/>
  <c r="N31" i="10"/>
  <c r="N32" i="10" s="1"/>
  <c r="K18" i="10"/>
  <c r="K29" i="10" s="1"/>
  <c r="L31" i="10"/>
  <c r="L32" i="10" s="1"/>
  <c r="H13" i="9"/>
  <c r="H12" i="9"/>
  <c r="M28" i="7"/>
  <c r="M29" i="7" s="1"/>
  <c r="F26" i="7"/>
  <c r="M18" i="7"/>
  <c r="M26" i="7" s="1"/>
  <c r="K18" i="7"/>
  <c r="K26" i="7" s="1"/>
  <c r="L28" i="7"/>
  <c r="L29" i="7" s="1"/>
  <c r="K28" i="7"/>
  <c r="K29" i="7" s="1"/>
  <c r="N18" i="7"/>
  <c r="N26" i="7" s="1"/>
  <c r="L18" i="7"/>
  <c r="L26" i="7" s="1"/>
  <c r="K18" i="14"/>
  <c r="K29" i="14" s="1"/>
  <c r="F29" i="14"/>
  <c r="K31" i="14"/>
  <c r="K32" i="14" s="1"/>
  <c r="M18" i="14"/>
  <c r="M29" i="14" s="1"/>
  <c r="L18" i="14"/>
  <c r="L29" i="14" s="1"/>
  <c r="N31" i="14"/>
  <c r="N32" i="14" s="1"/>
  <c r="M31" i="14"/>
  <c r="M32" i="14" s="1"/>
  <c r="N18" i="14"/>
  <c r="N29" i="14" s="1"/>
  <c r="F29" i="17"/>
  <c r="M31" i="17"/>
  <c r="M32" i="17" s="1"/>
  <c r="K31" i="17"/>
  <c r="K32" i="17" s="1"/>
  <c r="K18" i="17"/>
  <c r="K29" i="17" s="1"/>
  <c r="M18" i="17"/>
  <c r="M29" i="17" s="1"/>
  <c r="L18" i="17"/>
  <c r="L29" i="17" s="1"/>
  <c r="L31" i="17"/>
  <c r="L32" i="17" s="1"/>
  <c r="L31" i="14"/>
  <c r="L32" i="14" s="1"/>
  <c r="G14" i="9"/>
  <c r="N27" i="8"/>
  <c r="H14" i="9"/>
  <c r="K27" i="9"/>
  <c r="E7" i="9" l="1"/>
  <c r="E10" i="9"/>
  <c r="E9" i="9"/>
  <c r="F12" i="8"/>
  <c r="G12" i="8"/>
  <c r="E10" i="8"/>
  <c r="E9" i="8"/>
  <c r="E7" i="8"/>
  <c r="F4" i="4"/>
  <c r="E4" i="4"/>
  <c r="E5" i="4" s="1"/>
  <c r="E9" i="4" s="1"/>
  <c r="F13" i="3"/>
  <c r="F12" i="3"/>
  <c r="F14" i="13"/>
  <c r="G14" i="7"/>
  <c r="H14" i="13"/>
  <c r="F14" i="17"/>
  <c r="E14" i="14"/>
  <c r="F13" i="11"/>
  <c r="F12" i="11"/>
  <c r="E12" i="15"/>
  <c r="E13" i="15"/>
  <c r="F13" i="6"/>
  <c r="F12" i="6"/>
  <c r="E14" i="5"/>
  <c r="E14" i="16"/>
  <c r="E4" i="3"/>
  <c r="G13" i="3"/>
  <c r="G12" i="3"/>
  <c r="H12" i="4"/>
  <c r="H13" i="4"/>
  <c r="G13" i="14"/>
  <c r="E4" i="14"/>
  <c r="E5" i="14" s="1"/>
  <c r="E7" i="14" s="1"/>
  <c r="G12" i="14"/>
  <c r="G14" i="3"/>
  <c r="F13" i="15"/>
  <c r="F12" i="15"/>
  <c r="G14" i="6"/>
  <c r="E4" i="5"/>
  <c r="E5" i="5" s="1"/>
  <c r="E9" i="5" s="1"/>
  <c r="G12" i="5"/>
  <c r="G13" i="5"/>
  <c r="F13" i="16"/>
  <c r="F12" i="16"/>
  <c r="H12" i="3"/>
  <c r="H13" i="3"/>
  <c r="E12" i="4"/>
  <c r="E13" i="4"/>
  <c r="E4" i="17"/>
  <c r="E5" i="17" s="1"/>
  <c r="E8" i="17" s="1"/>
  <c r="G13" i="17"/>
  <c r="G12" i="17"/>
  <c r="E12" i="14"/>
  <c r="E13" i="14"/>
  <c r="E13" i="10"/>
  <c r="E12" i="10"/>
  <c r="E12" i="11"/>
  <c r="E13" i="11"/>
  <c r="H13" i="15"/>
  <c r="H12" i="15"/>
  <c r="H14" i="6"/>
  <c r="F13" i="5"/>
  <c r="F12" i="5"/>
  <c r="H14" i="16"/>
  <c r="G12" i="4"/>
  <c r="G13" i="4"/>
  <c r="E4" i="12"/>
  <c r="E5" i="12" s="1"/>
  <c r="E10" i="12" s="1"/>
  <c r="G13" i="12"/>
  <c r="G12" i="12"/>
  <c r="H14" i="10"/>
  <c r="G14" i="11"/>
  <c r="E14" i="15"/>
  <c r="H12" i="6"/>
  <c r="H13" i="6"/>
  <c r="H14" i="5"/>
  <c r="E13" i="16"/>
  <c r="E12" i="16"/>
  <c r="G14" i="13"/>
  <c r="G14" i="4"/>
  <c r="H14" i="11"/>
  <c r="F14" i="11"/>
  <c r="H12" i="7"/>
  <c r="H13" i="7"/>
  <c r="F13" i="10"/>
  <c r="F12" i="10"/>
  <c r="E14" i="11"/>
  <c r="F14" i="12"/>
  <c r="E14" i="6"/>
  <c r="E13" i="5"/>
  <c r="E12" i="5"/>
  <c r="G14" i="16"/>
  <c r="H12" i="13"/>
  <c r="H13" i="13"/>
  <c r="H14" i="4"/>
  <c r="F12" i="14"/>
  <c r="F13" i="14"/>
  <c r="G14" i="5"/>
  <c r="F12" i="17"/>
  <c r="F13" i="17"/>
  <c r="F12" i="7"/>
  <c r="F13" i="7"/>
  <c r="E12" i="9"/>
  <c r="E13" i="9"/>
  <c r="E14" i="7"/>
  <c r="E14" i="10"/>
  <c r="E12" i="12"/>
  <c r="E13" i="12"/>
  <c r="F14" i="6"/>
  <c r="E4" i="16"/>
  <c r="E5" i="16" s="1"/>
  <c r="E7" i="16" s="1"/>
  <c r="G12" i="16"/>
  <c r="G13" i="16"/>
  <c r="E14" i="13"/>
  <c r="E14" i="4"/>
  <c r="F14" i="14"/>
  <c r="H13" i="16"/>
  <c r="H12" i="16"/>
  <c r="E14" i="17"/>
  <c r="F14" i="7"/>
  <c r="H12" i="10"/>
  <c r="H13" i="10"/>
  <c r="E4" i="11"/>
  <c r="E5" i="11" s="1"/>
  <c r="E10" i="11" s="1"/>
  <c r="G13" i="11"/>
  <c r="G12" i="11"/>
  <c r="E13" i="6"/>
  <c r="E12" i="6"/>
  <c r="F14" i="5"/>
  <c r="F14" i="16"/>
  <c r="E4" i="13"/>
  <c r="E5" i="13" s="1"/>
  <c r="E9" i="13" s="1"/>
  <c r="G13" i="13"/>
  <c r="G12" i="13"/>
  <c r="F14" i="4"/>
  <c r="H12" i="11"/>
  <c r="H13" i="11"/>
  <c r="H12" i="14"/>
  <c r="H13" i="14"/>
  <c r="E12" i="7"/>
  <c r="E13" i="7"/>
  <c r="G12" i="10"/>
  <c r="E4" i="10"/>
  <c r="E5" i="10" s="1"/>
  <c r="E9" i="10" s="1"/>
  <c r="G13" i="10"/>
  <c r="H14" i="15"/>
  <c r="H12" i="12"/>
  <c r="H13" i="12"/>
  <c r="E4" i="6"/>
  <c r="E5" i="6" s="1"/>
  <c r="E10" i="6" s="1"/>
  <c r="G12" i="6"/>
  <c r="G13" i="6"/>
  <c r="H13" i="5"/>
  <c r="H12" i="5"/>
  <c r="E13" i="13"/>
  <c r="E12" i="13"/>
  <c r="F12" i="4"/>
  <c r="F13" i="4"/>
  <c r="E4" i="15"/>
  <c r="E5" i="15" s="1"/>
  <c r="E9" i="15" s="1"/>
  <c r="G13" i="15"/>
  <c r="G12" i="15"/>
  <c r="F14" i="10"/>
  <c r="E12" i="17"/>
  <c r="E13" i="17"/>
  <c r="G14" i="17"/>
  <c r="G14" i="12"/>
  <c r="H12" i="8"/>
  <c r="H13" i="8"/>
  <c r="G14" i="14"/>
  <c r="G12" i="7"/>
  <c r="G13" i="7"/>
  <c r="E4" i="7"/>
  <c r="E5" i="7" s="1"/>
  <c r="E10" i="7" s="1"/>
  <c r="F14" i="15"/>
  <c r="F13" i="12"/>
  <c r="F12" i="12"/>
  <c r="H14" i="3"/>
  <c r="H14" i="14"/>
  <c r="G14" i="10"/>
  <c r="G14" i="15"/>
  <c r="E14" i="12"/>
  <c r="F14" i="3"/>
  <c r="F12" i="13"/>
  <c r="F13" i="13"/>
  <c r="E9" i="17" l="1"/>
  <c r="E7" i="17"/>
  <c r="E8" i="16"/>
  <c r="E9" i="16"/>
  <c r="E10" i="16"/>
  <c r="E8" i="15"/>
  <c r="E10" i="15"/>
  <c r="E7" i="15"/>
  <c r="E9" i="14"/>
  <c r="E8" i="14"/>
  <c r="E10" i="14"/>
  <c r="E8" i="13"/>
  <c r="E10" i="13"/>
  <c r="E7" i="13"/>
  <c r="E7" i="12"/>
  <c r="E9" i="12"/>
  <c r="E8" i="12"/>
  <c r="E9" i="11"/>
  <c r="E7" i="11"/>
  <c r="E8" i="11"/>
  <c r="E10" i="10"/>
  <c r="E7" i="10"/>
  <c r="E8" i="10"/>
  <c r="E10" i="3"/>
  <c r="E8" i="7"/>
  <c r="E7" i="7"/>
  <c r="E9" i="7"/>
  <c r="E9" i="6"/>
  <c r="E8" i="6"/>
  <c r="E7" i="6"/>
  <c r="E7" i="5"/>
  <c r="E8" i="5"/>
  <c r="E10" i="5"/>
  <c r="E8" i="4"/>
  <c r="E7" i="4"/>
  <c r="E10" i="4"/>
  <c r="E8" i="3" l="1"/>
  <c r="E9" i="3"/>
</calcChain>
</file>

<file path=xl/sharedStrings.xml><?xml version="1.0" encoding="utf-8"?>
<sst xmlns="http://schemas.openxmlformats.org/spreadsheetml/2006/main" count="831" uniqueCount="139">
  <si>
    <t>Quiz Calibration Workbook</t>
  </si>
  <si>
    <t>How to use</t>
  </si>
  <si>
    <t>1) Go to a quiz sheet (Quiz 1 … Quiz 15).</t>
  </si>
  <si>
    <t>2) Adjust Total Questions and per-set Weights (blue text / yellow fill).</t>
  </si>
  <si>
    <t>3) Review weight share, expected question counts, expected correct counts.</t>
  </si>
  <si>
    <t>4) Pass threshold is derived from expected correct at Ability = Quiz Level.</t>
  </si>
  <si>
    <t>5) P values show estimated pass probability at Ability n-1, n-0.5, n, n+0.5 (normal approximation).</t>
  </si>
  <si>
    <t>Color legend</t>
  </si>
  <si>
    <t>Input cells (change these)</t>
  </si>
  <si>
    <t>Calculated cells (formulas)</t>
  </si>
  <si>
    <t>Quiz scopes</t>
  </si>
  <si>
    <t>Quiz Level</t>
  </si>
  <si>
    <t>Scope (S sets)</t>
  </si>
  <si>
    <t>Scope (L sets)</t>
  </si>
  <si>
    <t>Link</t>
  </si>
  <si>
    <t>S0–S1</t>
  </si>
  <si>
    <t>L2–L2</t>
  </si>
  <si>
    <t>Go to Quiz 1</t>
  </si>
  <si>
    <t>S0–S3</t>
  </si>
  <si>
    <t>L2–L4</t>
  </si>
  <si>
    <t>Go to Quiz 2</t>
  </si>
  <si>
    <t>S1–S4</t>
  </si>
  <si>
    <t>L3–L5</t>
  </si>
  <si>
    <t>Go to Quiz 3</t>
  </si>
  <si>
    <t>S2–S6</t>
  </si>
  <si>
    <t>L4–L6</t>
  </si>
  <si>
    <t>Go to Quiz 4</t>
  </si>
  <si>
    <t>S3–S7</t>
  </si>
  <si>
    <t>L5–L7</t>
  </si>
  <si>
    <t>Go to Quiz 5</t>
  </si>
  <si>
    <t>S4–S9</t>
  </si>
  <si>
    <t>L6–L8</t>
  </si>
  <si>
    <t>Go to Quiz 6</t>
  </si>
  <si>
    <t>S6–S11</t>
  </si>
  <si>
    <t>L7–L9</t>
  </si>
  <si>
    <t>Go to Quiz 7</t>
  </si>
  <si>
    <t>S6–S13</t>
  </si>
  <si>
    <t>L8–L10</t>
  </si>
  <si>
    <t>Go to Quiz 8</t>
  </si>
  <si>
    <t>S7–S14</t>
  </si>
  <si>
    <t>L9–L11</t>
  </si>
  <si>
    <t>Go to Quiz 9</t>
  </si>
  <si>
    <t>S8–S15</t>
  </si>
  <si>
    <t>L10–L12</t>
  </si>
  <si>
    <t>Go to Quiz 10</t>
  </si>
  <si>
    <t>L11–L13</t>
  </si>
  <si>
    <t>Go to Quiz 11</t>
  </si>
  <si>
    <t>L12–L14</t>
  </si>
  <si>
    <t>Go to Quiz 12</t>
  </si>
  <si>
    <t>L13–L15</t>
  </si>
  <si>
    <t>Go to Quiz 13</t>
  </si>
  <si>
    <t>Go to Quiz 14</t>
  </si>
  <si>
    <t>Go to Quiz 15</t>
  </si>
  <si>
    <t>items</t>
  </si>
  <si>
    <t>set</t>
  </si>
  <si>
    <t>S0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</si>
  <si>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</si>
  <si>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</si>
  <si>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</si>
  <si>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</si>
  <si>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</si>
  <si>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</si>
  <si>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</si>
  <si>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</si>
  <si>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</si>
  <si>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</si>
  <si>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</si>
  <si>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</si>
  <si>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</si>
  <si>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</si>
  <si>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</si>
  <si>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</si>
  <si>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</si>
  <si>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</si>
  <si>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</si>
  <si>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</si>
  <si>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</si>
  <si>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</si>
  <si>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</si>
  <si>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</si>
  <si>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</si>
  <si>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</si>
  <si>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</si>
  <si>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</si>
  <si>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</si>
  <si>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Quiz 1 – Scope, Weights, Thresholds, Pass Probabilities</t>
  </si>
  <si>
    <t>Controls (blue = editable)</t>
  </si>
  <si>
    <t>Threshold &amp; pass probabilities</t>
  </si>
  <si>
    <t>Quiz level (n)</t>
  </si>
  <si>
    <t>Pass threshold (expected correct at ability n)</t>
  </si>
  <si>
    <t>Total questions (N)</t>
  </si>
  <si>
    <t>Pass threshold (rounded up)</t>
  </si>
  <si>
    <t>Note: Weight share is proportional to (items × weight).</t>
  </si>
  <si>
    <t>Ability n-1</t>
  </si>
  <si>
    <t>P-1  (ability n-1)</t>
  </si>
  <si>
    <t>Ability n-0.5</t>
  </si>
  <si>
    <t>P-0.5 (ability n-0.5)</t>
  </si>
  <si>
    <t>Ability n</t>
  </si>
  <si>
    <t>P-0  (ability n)</t>
  </si>
  <si>
    <t>Ability n+0.5</t>
  </si>
  <si>
    <t>P+0.5 (ability n+0.5)</t>
  </si>
  <si>
    <t>n-1</t>
  </si>
  <si>
    <t>n-0.5</t>
  </si>
  <si>
    <t>n</t>
  </si>
  <si>
    <t>n+0.5</t>
  </si>
  <si>
    <t>Mean correct</t>
  </si>
  <si>
    <t>Accuracy %</t>
  </si>
  <si>
    <t>Std dev correct</t>
  </si>
  <si>
    <t>Set</t>
  </si>
  <si>
    <t>Items</t>
  </si>
  <si>
    <t>Weight
(per item)</t>
  </si>
  <si>
    <t>Items×Weight</t>
  </si>
  <si>
    <t>Weight share</t>
  </si>
  <si>
    <t>Expected
questions</t>
  </si>
  <si>
    <t>p(correct)
@ n-1</t>
  </si>
  <si>
    <t>p(correct)
@ n-0.5</t>
  </si>
  <si>
    <t>p(correct)
@ n</t>
  </si>
  <si>
    <t>p(correct)
@ n+0.5</t>
  </si>
  <si>
    <t>Exp correct
@ n-1</t>
  </si>
  <si>
    <t>Exp correct
@ n-0.5</t>
  </si>
  <si>
    <t>Exp correct
@ n</t>
  </si>
  <si>
    <t>Exp correct
@ n+0.5</t>
  </si>
  <si>
    <t>TOTAL</t>
  </si>
  <si>
    <t>Variance (approx)</t>
  </si>
  <si>
    <t>Std dev (approx)</t>
  </si>
  <si>
    <t>Quiz 2 – Scope, Weights, Thresholds, Pass Probabilities</t>
  </si>
  <si>
    <t>Quiz 3 – Scope, Weights, Thresholds, Pass Probabilities</t>
  </si>
  <si>
    <t>Quiz 4 – Scope, Weights, Thresholds, Pass Probabilities</t>
  </si>
  <si>
    <t>Quiz 5 – Scope, Weights, Thresholds, Pass Probabilities</t>
  </si>
  <si>
    <t>Quiz 6 – Scope, Weights, Thresholds, Pass Probabilities</t>
  </si>
  <si>
    <t>Quiz 7 – Scope, Weights, Thresholds, Pass Probabilities</t>
  </si>
  <si>
    <t>Quiz 8 – Scope, Weights, Thresholds, Pass Probabilities</t>
  </si>
  <si>
    <t>Quiz 9 – Scope, Weights, Thresholds, Pass Probabilities</t>
  </si>
  <si>
    <t>Quiz 10 – Scope, Weights, Thresholds, Pass Probabilities</t>
  </si>
  <si>
    <t>Quiz 11 – Scope, Weights, Thresholds, Pass Probabilities</t>
  </si>
  <si>
    <t>Quiz 12 – Scope, Weights, Thresholds, Pass Probabilities</t>
  </si>
  <si>
    <t>Quiz 13 – Scope, Weights, Thresholds, Pass Probabilities</t>
  </si>
  <si>
    <t>Quiz 14 – Scope, Weights, Thresholds, Pass Probabilities</t>
  </si>
  <si>
    <t>Quiz 15 – Scope, Weights, Thresholds, Pass Probabilities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</si>
</sst>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%"/>
    <numFmt numFmtId="166" formatCode="0.000"/>
  </numFmts>
  <fonts count="8" x14ac:knownFonts="1">
    <font>
      <sz val="11"/>
      <color theme="1"/>
      <name val="Calibri"/>
      <family val="2"/>
      <scheme val="minor"/>
    </font>
    <font>
      <b/>
      <sz val="18"/>
      <color rgb="FFFFFFFF"/>
      <name val="Calibri"/>
    </font>
    <font>
      <b/>
      <sz val="12"/>
      <color rgb="FFFFFFFF"/>
      <name val="Calibri"/>
    </font>
    <font>
      <sz val="11"/>
      <color rgb="FF0000FF"/>
      <name val="Calibri"/>
    </font>
    <font>
      <b/>
      <sz val="11"/>
      <name val="Calibri"/>
    </font>
    <font>
      <sz val="12"/>
      <color theme="10"/>
      <name val="Calibri"/>
      <family val="2"/>
      <scheme val="minor"/>
    </font>
    <font>
      <b/>
      <sz val="16"/>
      <color rgb="FFFFFFFF"/>
      <name val="Calibri"/>
    </font>
    <font>
      <i/>
      <sz val="11"/>
      <color rgb="FF666666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D9E1F2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5" fillId="0" borderId="0"/>
  </cellStyleXfs>
  <cellXfs count="33">
    <xf numFmtId="0" fontId="0" fillId="0" borderId="0" xfId="0"/>
    <xf numFmtId="0" fontId="0" fillId="0" borderId="0" xfId="0" applyAlignment="1">
      <alignment horizontal="left" vertical="center" wrapText="1"/>
    </xf>
    <xf numFmtId="0" fontId="3" fillId="3" borderId="0" xfId="0" applyFont="1" applyFill="1"/>
    <xf numFmtId="0" fontId="4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5" fillId="0" borderId="1" xfId="1" applyBorder="1" applyAlignment="1">
      <alignment horizontal="left" vertical="center" wrapText="1"/>
    </xf>
    <xf numFmtId="164" fontId="4" fillId="4" borderId="1" xfId="0" applyNumberFormat="1" applyFont="1" applyFill="1" applyBorder="1" applyAlignment="1">
      <alignment horizontal="center" vertical="center" wrapText="1"/>
    </xf>
    <xf numFmtId="1" fontId="0" fillId="0" borderId="1" xfId="0" applyNumberFormat="1" applyBorder="1" applyAlignment="1">
      <alignment horizontal="right" vertical="center" wrapText="1"/>
    </xf>
    <xf numFmtId="0" fontId="0" fillId="0" borderId="1" xfId="0" applyBorder="1" applyAlignment="1">
      <alignment horizontal="left" vertical="center" wrapText="1"/>
    </xf>
    <xf numFmtId="165" fontId="0" fillId="0" borderId="1" xfId="0" applyNumberFormat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2" fontId="0" fillId="5" borderId="1" xfId="0" applyNumberFormat="1" applyFill="1" applyBorder="1" applyAlignment="1">
      <alignment horizontal="right" vertical="center" wrapText="1"/>
    </xf>
    <xf numFmtId="1" fontId="3" fillId="3" borderId="1" xfId="0" applyNumberFormat="1" applyFont="1" applyFill="1" applyBorder="1" applyAlignment="1">
      <alignment horizontal="center" vertical="center" wrapText="1"/>
    </xf>
    <xf numFmtId="1" fontId="0" fillId="5" borderId="1" xfId="0" applyNumberFormat="1" applyFill="1" applyBorder="1" applyAlignment="1">
      <alignment horizontal="right" vertical="center" wrapText="1"/>
    </xf>
    <xf numFmtId="164" fontId="0" fillId="5" borderId="1" xfId="0" applyNumberFormat="1" applyFill="1" applyBorder="1" applyAlignment="1">
      <alignment horizontal="center" vertical="center" wrapText="1"/>
    </xf>
    <xf numFmtId="166" fontId="0" fillId="5" borderId="1" xfId="0" applyNumberFormat="1" applyFill="1" applyBorder="1" applyAlignment="1">
      <alignment horizontal="right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2" fontId="0" fillId="0" borderId="0" xfId="0" applyNumberFormat="1" applyAlignment="1">
      <alignment horizontal="right" vertical="center" wrapText="1"/>
    </xf>
    <xf numFmtId="165" fontId="0" fillId="0" borderId="0" xfId="0" applyNumberFormat="1" applyAlignment="1">
      <alignment horizontal="right" vertical="center" wrapText="1"/>
    </xf>
    <xf numFmtId="2" fontId="3" fillId="3" borderId="1" xfId="0" applyNumberFormat="1" applyFont="1" applyFill="1" applyBorder="1" applyAlignment="1">
      <alignment horizontal="center" vertical="center" wrapText="1"/>
    </xf>
    <xf numFmtId="2" fontId="0" fillId="0" borderId="1" xfId="0" applyNumberFormat="1" applyBorder="1" applyAlignment="1">
      <alignment horizontal="right" vertical="center" wrapText="1"/>
    </xf>
    <xf numFmtId="165" fontId="0" fillId="0" borderId="1" xfId="0" applyNumberFormat="1" applyBorder="1" applyAlignment="1">
      <alignment horizontal="right" vertical="center" wrapText="1"/>
    </xf>
    <xf numFmtId="0" fontId="4" fillId="5" borderId="1" xfId="0" applyFont="1" applyFill="1" applyBorder="1" applyAlignment="1">
      <alignment horizontal="left" vertical="center" wrapText="1"/>
    </xf>
    <xf numFmtId="2" fontId="4" fillId="5" borderId="1" xfId="0" applyNumberFormat="1" applyFont="1" applyFill="1" applyBorder="1" applyAlignment="1">
      <alignment horizontal="right" vertical="center" wrapText="1"/>
    </xf>
    <xf numFmtId="165" fontId="4" fillId="5" borderId="1" xfId="0" applyNumberFormat="1" applyFont="1" applyFill="1" applyBorder="1" applyAlignment="1">
      <alignment horizontal="right" vertical="center" wrapText="1"/>
    </xf>
    <xf numFmtId="165" fontId="0" fillId="0" borderId="0" xfId="0" applyNumberFormat="1"/>
    <xf numFmtId="0" fontId="2" fillId="2" borderId="0" xfId="0" applyFont="1" applyFill="1" applyAlignment="1">
      <alignment horizontal="left" vertical="center" wrapText="1"/>
    </xf>
    <xf numFmtId="0" fontId="0" fillId="0" borderId="0" xfId="0"/>
    <xf numFmtId="0" fontId="0" fillId="0" borderId="0" xfId="0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2">
    <cellStyle name="Hyperlink" xfId="1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"/>
  <sheetViews>
    <sheetView showGridLines="0" workbookViewId="0">
      <selection sqref="A1:H1"/>
    </sheetView>
  </sheetViews>
  <sheetFormatPr defaultRowHeight="15" x14ac:dyDescent="0.25"/>
  <cols>
    <col min="1" max="1" width="10" customWidth="1"/>
    <col min="2" max="3" width="20" customWidth="1"/>
    <col min="4" max="4" width="18" customWidth="1"/>
  </cols>
  <sheetData>
    <row r="1" spans="1:8" x14ac:dyDescent="0.25">
      <c r="A1" s="30" t="s">
        <v>0</v>
      </c>
      <c r="B1" s="28"/>
      <c r="C1" s="28"/>
      <c r="D1" s="28"/>
      <c r="E1" s="28"/>
      <c r="F1" s="28"/>
      <c r="G1" s="28"/>
      <c r="H1" s="28"/>
    </row>
    <row r="3" spans="1:8" x14ac:dyDescent="0.25">
      <c r="A3" s="27" t="s">
        <v>1</v>
      </c>
      <c r="B3" s="28"/>
      <c r="C3" s="28"/>
      <c r="D3" s="28"/>
      <c r="E3" s="28"/>
      <c r="F3" s="28"/>
      <c r="G3" s="28"/>
      <c r="H3" s="28"/>
    </row>
    <row r="4" spans="1:8" x14ac:dyDescent="0.25">
      <c r="A4" s="29" t="s">
        <v>2</v>
      </c>
      <c r="B4" s="28"/>
      <c r="C4" s="28"/>
      <c r="D4" s="28"/>
      <c r="E4" s="28"/>
      <c r="F4" s="28"/>
      <c r="G4" s="28"/>
      <c r="H4" s="28"/>
    </row>
    <row r="5" spans="1:8" x14ac:dyDescent="0.25">
      <c r="A5" s="29" t="s">
        <v>3</v>
      </c>
      <c r="B5" s="28"/>
      <c r="C5" s="28"/>
      <c r="D5" s="28"/>
      <c r="E5" s="28"/>
      <c r="F5" s="28"/>
      <c r="G5" s="28"/>
      <c r="H5" s="28"/>
    </row>
    <row r="6" spans="1:8" x14ac:dyDescent="0.25">
      <c r="A6" s="29" t="s">
        <v>4</v>
      </c>
      <c r="B6" s="28"/>
      <c r="C6" s="28"/>
      <c r="D6" s="28"/>
      <c r="E6" s="28"/>
      <c r="F6" s="28"/>
      <c r="G6" s="28"/>
      <c r="H6" s="28"/>
    </row>
    <row r="7" spans="1:8" x14ac:dyDescent="0.25">
      <c r="A7" s="29" t="s">
        <v>5</v>
      </c>
      <c r="B7" s="28"/>
      <c r="C7" s="28"/>
      <c r="D7" s="28"/>
      <c r="E7" s="28"/>
      <c r="F7" s="28"/>
      <c r="G7" s="28"/>
      <c r="H7" s="28"/>
    </row>
    <row r="8" spans="1:8" x14ac:dyDescent="0.25">
      <c r="A8" s="29" t="s">
        <v>6</v>
      </c>
      <c r="B8" s="28"/>
      <c r="C8" s="28"/>
      <c r="D8" s="28"/>
      <c r="E8" s="28"/>
      <c r="F8" s="28"/>
      <c r="G8" s="28"/>
      <c r="H8" s="28"/>
    </row>
    <row r="11" spans="1:8" x14ac:dyDescent="0.25">
      <c r="A11" s="27" t="s">
        <v>7</v>
      </c>
      <c r="B11" s="28"/>
      <c r="C11" s="28"/>
      <c r="D11" s="28"/>
      <c r="E11" s="28"/>
      <c r="F11" s="28"/>
      <c r="G11" s="28"/>
      <c r="H11" s="28"/>
    </row>
    <row r="12" spans="1:8" x14ac:dyDescent="0.25">
      <c r="A12" s="2" t="s">
        <v>8</v>
      </c>
      <c r="B12" t="s">
        <v>9</v>
      </c>
    </row>
    <row r="14" spans="1:8" x14ac:dyDescent="0.25">
      <c r="A14" s="27" t="s">
        <v>10</v>
      </c>
      <c r="B14" s="28"/>
      <c r="C14" s="28"/>
      <c r="D14" s="28"/>
      <c r="E14" s="28"/>
      <c r="F14" s="28"/>
      <c r="G14" s="28"/>
      <c r="H14" s="28"/>
    </row>
    <row r="15" spans="1:8" ht="30" x14ac:dyDescent="0.25">
      <c r="A15" s="3" t="s">
        <v>11</v>
      </c>
      <c r="B15" s="3" t="s">
        <v>12</v>
      </c>
      <c r="C15" s="3" t="s">
        <v>13</v>
      </c>
      <c r="D15" s="3" t="s">
        <v>14</v>
      </c>
    </row>
    <row r="16" spans="1:8" ht="15.75" x14ac:dyDescent="0.25">
      <c r="A16" s="4">
        <v>1</v>
      </c>
      <c r="B16" s="4" t="s">
        <v>15</v>
      </c>
      <c r="C16" s="4" t="s">
        <v>16</v>
      </c>
      <c r="D16" s="5" t="s">
        <v>17</v>
      </c>
    </row>
    <row r="17" spans="1:4" ht="15.75" x14ac:dyDescent="0.25">
      <c r="A17" s="4">
        <v>2</v>
      </c>
      <c r="B17" s="4" t="s">
        <v>18</v>
      </c>
      <c r="C17" s="4" t="s">
        <v>19</v>
      </c>
      <c r="D17" s="5" t="s">
        <v>20</v>
      </c>
    </row>
    <row r="18" spans="1:4" ht="15.75" x14ac:dyDescent="0.25">
      <c r="A18" s="4">
        <v>3</v>
      </c>
      <c r="B18" s="4" t="s">
        <v>21</v>
      </c>
      <c r="C18" s="4" t="s">
        <v>22</v>
      </c>
      <c r="D18" s="5" t="s">
        <v>23</v>
      </c>
    </row>
    <row r="19" spans="1:4" ht="15.75" x14ac:dyDescent="0.25">
      <c r="A19" s="4">
        <v>4</v>
      </c>
      <c r="B19" s="4" t="s">
        <v>24</v>
      </c>
      <c r="C19" s="4" t="s">
        <v>25</v>
      </c>
      <c r="D19" s="5" t="s">
        <v>26</v>
      </c>
    </row>
    <row r="20" spans="1:4" ht="15.75" x14ac:dyDescent="0.25">
      <c r="A20" s="4">
        <v>5</v>
      </c>
      <c r="B20" s="4" t="s">
        <v>27</v>
      </c>
      <c r="C20" s="4" t="s">
        <v>28</v>
      </c>
      <c r="D20" s="5" t="s">
        <v>29</v>
      </c>
    </row>
    <row r="21" spans="1:4" ht="15.75" x14ac:dyDescent="0.25">
      <c r="A21" s="4">
        <v>6</v>
      </c>
      <c r="B21" s="4" t="s">
        <v>30</v>
      </c>
      <c r="C21" s="4" t="s">
        <v>31</v>
      </c>
      <c r="D21" s="5" t="s">
        <v>32</v>
      </c>
    </row>
    <row r="22" spans="1:4" ht="15.75" x14ac:dyDescent="0.25">
      <c r="A22" s="4">
        <v>7</v>
      </c>
      <c r="B22" s="4" t="s">
        <v>33</v>
      </c>
      <c r="C22" s="4" t="s">
        <v>34</v>
      </c>
      <c r="D22" s="5" t="s">
        <v>35</v>
      </c>
    </row>
    <row r="23" spans="1:4" ht="15.75" x14ac:dyDescent="0.25">
      <c r="A23" s="4">
        <v>8</v>
      </c>
      <c r="B23" s="4" t="s">
        <v>36</v>
      </c>
      <c r="C23" s="4" t="s">
        <v>37</v>
      </c>
      <c r="D23" s="5" t="s">
        <v>38</v>
      </c>
    </row>
    <row r="24" spans="1:4" ht="15.75" x14ac:dyDescent="0.25">
      <c r="A24" s="4">
        <v>9</v>
      </c>
      <c r="B24" s="4" t="s">
        <v>39</v>
      </c>
      <c r="C24" s="4" t="s">
        <v>40</v>
      </c>
      <c r="D24" s="5" t="s">
        <v>41</v>
      </c>
    </row>
    <row r="25" spans="1:4" ht="15.75" x14ac:dyDescent="0.25">
      <c r="A25" s="4">
        <v>10</v>
      </c>
      <c r="B25" s="4" t="s">
        <v>42</v>
      </c>
      <c r="C25" s="4" t="s">
        <v>43</v>
      </c>
      <c r="D25" s="5" t="s">
        <v>44</v>
      </c>
    </row>
    <row r="26" spans="1:4" ht="15.75" x14ac:dyDescent="0.25">
      <c r="A26" s="4">
        <v>11</v>
      </c>
      <c r="B26" s="4" t="s">
        <v>42</v>
      </c>
      <c r="C26" s="4" t="s">
        <v>45</v>
      </c>
      <c r="D26" s="5" t="s">
        <v>46</v>
      </c>
    </row>
    <row r="27" spans="1:4" ht="15.75" x14ac:dyDescent="0.25">
      <c r="A27" s="4">
        <v>12</v>
      </c>
      <c r="B27" s="4" t="s">
        <v>42</v>
      </c>
      <c r="C27" s="4" t="s">
        <v>47</v>
      </c>
      <c r="D27" s="5" t="s">
        <v>48</v>
      </c>
    </row>
    <row r="28" spans="1:4" ht="15.75" x14ac:dyDescent="0.25">
      <c r="A28" s="4">
        <v>13</v>
      </c>
      <c r="B28" s="4" t="s">
        <v>42</v>
      </c>
      <c r="C28" s="4" t="s">
        <v>49</v>
      </c>
      <c r="D28" s="5" t="s">
        <v>50</v>
      </c>
    </row>
    <row r="29" spans="1:4" ht="15.75" x14ac:dyDescent="0.25">
      <c r="A29" s="4">
        <v>14</v>
      </c>
      <c r="B29" s="4" t="s">
        <v>42</v>
      </c>
      <c r="C29" s="4" t="s">
        <v>49</v>
      </c>
      <c r="D29" s="5" t="s">
        <v>51</v>
      </c>
    </row>
    <row r="30" spans="1:4" ht="15.75" x14ac:dyDescent="0.25">
      <c r="A30" s="4">
        <v>15</v>
      </c>
      <c r="B30" s="4" t="s">
        <v>42</v>
      </c>
      <c r="C30" s="4" t="s">
        <v>49</v>
      </c>
      <c r="D30" s="5" t="s">
        <v>52</v>
      </c>
    </row>
  </sheetData>
  <mergeCells count="9">
    <mergeCell ref="A14:H14"/>
    <mergeCell ref="A5:H5"/>
    <mergeCell ref="A8:H8"/>
    <mergeCell ref="A6:H6"/>
    <mergeCell ref="A1:H1"/>
    <mergeCell ref="A4:H4"/>
    <mergeCell ref="A3:H3"/>
    <mergeCell ref="A7:H7"/>
    <mergeCell ref="A11:H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31"/>
  <sheetViews>
    <sheetView showGridLines="0" workbookViewId="0"/>
  </sheetViews>
  <sheetFormatPr defaultRowHeight="15" x14ac:dyDescent="0.25"/>
  <cols>
    <col min="1" max="1" width="10" customWidth="1"/>
    <col min="2" max="2" width="8" customWidth="1"/>
    <col min="3" max="32" width="7" customWidth="1"/>
  </cols>
  <sheetData>
    <row r="1" spans="1:32" x14ac:dyDescent="0.25">
      <c r="A1" s="3" t="s">
        <v>53</v>
      </c>
      <c r="B1" s="3" t="s">
        <v>54</v>
      </c>
      <c r="C1" s="6">
        <v>0.5</v>
      </c>
      <c r="D1" s="6">
        <v>1</v>
      </c>
      <c r="E1" s="6">
        <v>1.5</v>
      </c>
      <c r="F1" s="6">
        <v>2</v>
      </c>
      <c r="G1" s="6">
        <v>2.5</v>
      </c>
      <c r="H1" s="6">
        <v>3</v>
      </c>
      <c r="I1" s="6">
        <v>3.5</v>
      </c>
      <c r="J1" s="6">
        <v>4</v>
      </c>
      <c r="K1" s="6">
        <v>4.5</v>
      </c>
      <c r="L1" s="6">
        <v>5</v>
      </c>
      <c r="M1" s="6">
        <v>5.5</v>
      </c>
      <c r="N1" s="6">
        <v>6</v>
      </c>
      <c r="O1" s="6">
        <v>6.5</v>
      </c>
      <c r="P1" s="6">
        <v>7</v>
      </c>
      <c r="Q1" s="6">
        <v>7.5</v>
      </c>
      <c r="R1" s="6">
        <v>8</v>
      </c>
      <c r="S1" s="6">
        <v>8.5</v>
      </c>
      <c r="T1" s="6">
        <v>9</v>
      </c>
      <c r="U1" s="6">
        <v>9.5</v>
      </c>
      <c r="V1" s="6">
        <v>10</v>
      </c>
      <c r="W1" s="6">
        <v>10.5</v>
      </c>
      <c r="X1" s="6">
        <v>11</v>
      </c>
      <c r="Y1" s="6">
        <v>11.5</v>
      </c>
      <c r="Z1" s="6">
        <v>12</v>
      </c>
      <c r="AA1" s="6">
        <v>12.5</v>
      </c>
      <c r="AB1" s="6">
        <v>13</v>
      </c>
      <c r="AC1" s="6">
        <v>13.5</v>
      </c>
      <c r="AD1" s="6">
        <v>14</v>
      </c>
      <c r="AE1" s="6">
        <v>14.5</v>
      </c>
      <c r="AF1" s="6">
        <v>15</v>
      </c>
    </row>
    <row r="2" spans="1:32" x14ac:dyDescent="0.25">
      <c r="A2" s="7">
        <v>15</v>
      </c>
      <c r="B2" s="8" t="s">
        <v>55</v>
      </c>
      <c r="C2" s="9">
        <v>0.48149999999999998</v>
      </c>
      <c r="D2" s="9">
        <v>0.71260000000000001</v>
      </c>
      <c r="E2" s="9">
        <v>0.87260000000000004</v>
      </c>
      <c r="F2" s="9">
        <v>0.93940000000000001</v>
      </c>
      <c r="G2" s="9">
        <v>0.94980000000000009</v>
      </c>
      <c r="H2" s="9">
        <v>0.95</v>
      </c>
      <c r="I2" s="9">
        <v>0.95</v>
      </c>
      <c r="J2" s="9">
        <v>0.95</v>
      </c>
      <c r="K2" s="9">
        <v>0.95</v>
      </c>
      <c r="L2" s="9">
        <v>0.95</v>
      </c>
      <c r="M2" s="9">
        <v>0.95</v>
      </c>
      <c r="N2" s="9">
        <v>0.95</v>
      </c>
      <c r="O2" s="9">
        <v>0.95</v>
      </c>
      <c r="P2" s="9">
        <v>0.95</v>
      </c>
      <c r="Q2" s="9">
        <v>0.95</v>
      </c>
      <c r="R2" s="9">
        <v>0.95</v>
      </c>
      <c r="S2" s="9">
        <v>0.95</v>
      </c>
      <c r="T2" s="9">
        <v>0.95</v>
      </c>
      <c r="U2" s="9">
        <v>0.95</v>
      </c>
      <c r="V2" s="9">
        <v>0.95</v>
      </c>
      <c r="W2" s="9">
        <v>0.95</v>
      </c>
      <c r="X2" s="9">
        <v>0.95</v>
      </c>
      <c r="Y2" s="9">
        <v>0.95</v>
      </c>
      <c r="Z2" s="9">
        <v>0.95</v>
      </c>
      <c r="AA2" s="9">
        <v>0.95</v>
      </c>
      <c r="AB2" s="9">
        <v>0.95</v>
      </c>
      <c r="AC2" s="9">
        <v>0.95</v>
      </c>
      <c r="AD2" s="9">
        <v>0.95</v>
      </c>
      <c r="AE2" s="9">
        <v>0.95</v>
      </c>
      <c r="AF2" s="9">
        <v>0.95</v>
      </c>
    </row>
    <row r="3" spans="1:32" x14ac:dyDescent="0.25">
      <c r="A3" s="7">
        <v>69</v>
      </c>
      <c r="B3" s="8" t="s">
        <v>56</v>
      </c>
      <c r="C3" s="9">
        <v>0.21590000000000001</v>
      </c>
      <c r="D3" s="9">
        <v>0.3448</v>
      </c>
      <c r="E3" s="9">
        <v>0.50470000000000004</v>
      </c>
      <c r="F3" s="9">
        <v>0.68510000000000004</v>
      </c>
      <c r="G3" s="9">
        <v>0.8599</v>
      </c>
      <c r="H3" s="9">
        <v>0.93969999999999998</v>
      </c>
      <c r="I3" s="9">
        <v>0.94940000000000002</v>
      </c>
      <c r="J3" s="9">
        <v>0.95</v>
      </c>
      <c r="K3" s="9">
        <v>0.95</v>
      </c>
      <c r="L3" s="9">
        <v>0.95</v>
      </c>
      <c r="M3" s="9">
        <v>0.95</v>
      </c>
      <c r="N3" s="9">
        <v>0.95</v>
      </c>
      <c r="O3" s="9">
        <v>0.95</v>
      </c>
      <c r="P3" s="9">
        <v>0.95</v>
      </c>
      <c r="Q3" s="9">
        <v>0.95</v>
      </c>
      <c r="R3" s="9">
        <v>0.95</v>
      </c>
      <c r="S3" s="9">
        <v>0.95</v>
      </c>
      <c r="T3" s="9">
        <v>0.95</v>
      </c>
      <c r="U3" s="9">
        <v>0.95</v>
      </c>
      <c r="V3" s="9">
        <v>0.95</v>
      </c>
      <c r="W3" s="9">
        <v>0.95</v>
      </c>
      <c r="X3" s="9">
        <v>0.95</v>
      </c>
      <c r="Y3" s="9">
        <v>0.95</v>
      </c>
      <c r="Z3" s="9">
        <v>0.95</v>
      </c>
      <c r="AA3" s="9">
        <v>0.95</v>
      </c>
      <c r="AB3" s="9">
        <v>0.95</v>
      </c>
      <c r="AC3" s="9">
        <v>0.95</v>
      </c>
      <c r="AD3" s="9">
        <v>0.95</v>
      </c>
      <c r="AE3" s="9">
        <v>0.95</v>
      </c>
      <c r="AF3" s="9">
        <v>0.95</v>
      </c>
    </row>
    <row r="4" spans="1:32" x14ac:dyDescent="0.25">
      <c r="A4" s="7">
        <v>196</v>
      </c>
      <c r="B4" s="8" t="s">
        <v>57</v>
      </c>
      <c r="C4" s="9">
        <v>9.8000000000000004E-2</v>
      </c>
      <c r="D4" s="9">
        <v>0.15870000000000001</v>
      </c>
      <c r="E4" s="9">
        <v>0.25600000000000001</v>
      </c>
      <c r="F4" s="9">
        <v>0.39489999999999997</v>
      </c>
      <c r="G4" s="9">
        <v>0.58560000000000001</v>
      </c>
      <c r="H4" s="9">
        <v>0.77510000000000001</v>
      </c>
      <c r="I4" s="9">
        <v>0.87939999999999996</v>
      </c>
      <c r="J4" s="9">
        <v>0.93330000000000002</v>
      </c>
      <c r="K4" s="9">
        <v>0.94909999999999994</v>
      </c>
      <c r="L4" s="9">
        <v>0.95</v>
      </c>
      <c r="M4" s="9">
        <v>0.95</v>
      </c>
      <c r="N4" s="9">
        <v>0.95</v>
      </c>
      <c r="O4" s="9">
        <v>0.95</v>
      </c>
      <c r="P4" s="9">
        <v>0.95</v>
      </c>
      <c r="Q4" s="9">
        <v>0.95</v>
      </c>
      <c r="R4" s="9">
        <v>0.95</v>
      </c>
      <c r="S4" s="9">
        <v>0.95</v>
      </c>
      <c r="T4" s="9">
        <v>0.95</v>
      </c>
      <c r="U4" s="9">
        <v>0.95</v>
      </c>
      <c r="V4" s="9">
        <v>0.95</v>
      </c>
      <c r="W4" s="9">
        <v>0.95</v>
      </c>
      <c r="X4" s="9">
        <v>0.95</v>
      </c>
      <c r="Y4" s="9">
        <v>0.95</v>
      </c>
      <c r="Z4" s="9">
        <v>0.95</v>
      </c>
      <c r="AA4" s="9">
        <v>0.95</v>
      </c>
      <c r="AB4" s="9">
        <v>0.95</v>
      </c>
      <c r="AC4" s="9">
        <v>0.95</v>
      </c>
      <c r="AD4" s="9">
        <v>0.95</v>
      </c>
      <c r="AE4" s="9">
        <v>0.95</v>
      </c>
      <c r="AF4" s="9">
        <v>0.95</v>
      </c>
    </row>
    <row r="5" spans="1:32" x14ac:dyDescent="0.25">
      <c r="A5" s="7">
        <v>534</v>
      </c>
      <c r="B5" s="8" t="s">
        <v>58</v>
      </c>
      <c r="C5" s="9">
        <v>6.3899999999999998E-2</v>
      </c>
      <c r="D5" s="9">
        <v>8.4399999999999989E-2</v>
      </c>
      <c r="E5" s="9">
        <v>0.12429999999999999</v>
      </c>
      <c r="F5" s="9">
        <v>0.1981</v>
      </c>
      <c r="G5" s="9">
        <v>0.32869999999999999</v>
      </c>
      <c r="H5" s="9">
        <v>0.50049999999999994</v>
      </c>
      <c r="I5" s="9">
        <v>0.63969999999999994</v>
      </c>
      <c r="J5" s="9">
        <v>0.76700000000000002</v>
      </c>
      <c r="K5" s="9">
        <v>0.87319999999999998</v>
      </c>
      <c r="L5" s="9">
        <v>0.93010000000000004</v>
      </c>
      <c r="M5" s="9">
        <v>0.94840000000000002</v>
      </c>
      <c r="N5" s="9">
        <v>0.95</v>
      </c>
      <c r="O5" s="9">
        <v>0.95</v>
      </c>
      <c r="P5" s="9">
        <v>0.95</v>
      </c>
      <c r="Q5" s="9">
        <v>0.95</v>
      </c>
      <c r="R5" s="9">
        <v>0.95</v>
      </c>
      <c r="S5" s="9">
        <v>0.95</v>
      </c>
      <c r="T5" s="9">
        <v>0.95</v>
      </c>
      <c r="U5" s="9">
        <v>0.95</v>
      </c>
      <c r="V5" s="9">
        <v>0.95</v>
      </c>
      <c r="W5" s="9">
        <v>0.95</v>
      </c>
      <c r="X5" s="9">
        <v>0.95</v>
      </c>
      <c r="Y5" s="9">
        <v>0.95</v>
      </c>
      <c r="Z5" s="9">
        <v>0.95</v>
      </c>
      <c r="AA5" s="9">
        <v>0.95</v>
      </c>
      <c r="AB5" s="9">
        <v>0.95</v>
      </c>
      <c r="AC5" s="9">
        <v>0.95</v>
      </c>
      <c r="AD5" s="9">
        <v>0.95</v>
      </c>
      <c r="AE5" s="9">
        <v>0.95</v>
      </c>
      <c r="AF5" s="9">
        <v>0.95</v>
      </c>
    </row>
    <row r="6" spans="1:32" x14ac:dyDescent="0.25">
      <c r="A6" s="7">
        <v>698</v>
      </c>
      <c r="B6" s="8" t="s">
        <v>59</v>
      </c>
      <c r="C6" s="9">
        <v>5.4000000000000013E-2</v>
      </c>
      <c r="D6" s="9">
        <v>6.0199999999999997E-2</v>
      </c>
      <c r="E6" s="9">
        <v>7.3399999999999993E-2</v>
      </c>
      <c r="F6" s="9">
        <v>0.1018</v>
      </c>
      <c r="G6" s="9">
        <v>0.16669999999999999</v>
      </c>
      <c r="H6" s="9">
        <v>0.28399999999999997</v>
      </c>
      <c r="I6" s="9">
        <v>0.40720000000000001</v>
      </c>
      <c r="J6" s="9">
        <v>0.5484</v>
      </c>
      <c r="K6" s="9">
        <v>0.70519999999999994</v>
      </c>
      <c r="L6" s="9">
        <v>0.83329999999999993</v>
      </c>
      <c r="M6" s="9">
        <v>0.91709999999999992</v>
      </c>
      <c r="N6" s="9">
        <v>0.94650000000000001</v>
      </c>
      <c r="O6" s="9">
        <v>0.94989999999999997</v>
      </c>
      <c r="P6" s="9">
        <v>0.95</v>
      </c>
      <c r="Q6" s="9">
        <v>0.95</v>
      </c>
      <c r="R6" s="9">
        <v>0.95</v>
      </c>
      <c r="S6" s="9">
        <v>0.95</v>
      </c>
      <c r="T6" s="9">
        <v>0.95</v>
      </c>
      <c r="U6" s="9">
        <v>0.95</v>
      </c>
      <c r="V6" s="9">
        <v>0.95</v>
      </c>
      <c r="W6" s="9">
        <v>0.95</v>
      </c>
      <c r="X6" s="9">
        <v>0.95</v>
      </c>
      <c r="Y6" s="9">
        <v>0.95</v>
      </c>
      <c r="Z6" s="9">
        <v>0.95</v>
      </c>
      <c r="AA6" s="9">
        <v>0.95</v>
      </c>
      <c r="AB6" s="9">
        <v>0.95</v>
      </c>
      <c r="AC6" s="9">
        <v>0.95</v>
      </c>
      <c r="AD6" s="9">
        <v>0.95</v>
      </c>
      <c r="AE6" s="9">
        <v>0.95</v>
      </c>
      <c r="AF6" s="9">
        <v>0.95</v>
      </c>
    </row>
    <row r="7" spans="1:32" x14ac:dyDescent="0.25">
      <c r="A7" s="7">
        <v>1268</v>
      </c>
      <c r="B7" s="8" t="s">
        <v>60</v>
      </c>
      <c r="C7" s="9">
        <v>5.1799999999999999E-2</v>
      </c>
      <c r="D7" s="9">
        <v>5.4699999999999999E-2</v>
      </c>
      <c r="E7" s="9">
        <v>6.0999999999999999E-2</v>
      </c>
      <c r="F7" s="9">
        <v>7.4900000000000008E-2</v>
      </c>
      <c r="G7" s="9">
        <v>0.1085</v>
      </c>
      <c r="H7" s="9">
        <v>0.17610000000000001</v>
      </c>
      <c r="I7" s="9">
        <v>0.25790000000000002</v>
      </c>
      <c r="J7" s="9">
        <v>0.36680000000000001</v>
      </c>
      <c r="K7" s="9">
        <v>0.51180000000000003</v>
      </c>
      <c r="L7" s="9">
        <v>0.65639999999999998</v>
      </c>
      <c r="M7" s="9">
        <v>0.78709999999999991</v>
      </c>
      <c r="N7" s="9">
        <v>0.88260000000000005</v>
      </c>
      <c r="O7" s="9">
        <v>0.93129999999999991</v>
      </c>
      <c r="P7" s="9">
        <v>0.94790000000000008</v>
      </c>
      <c r="Q7" s="9">
        <v>0.94989999999999997</v>
      </c>
      <c r="R7" s="9">
        <v>0.95</v>
      </c>
      <c r="S7" s="9">
        <v>0.95</v>
      </c>
      <c r="T7" s="9">
        <v>0.95</v>
      </c>
      <c r="U7" s="9">
        <v>0.95</v>
      </c>
      <c r="V7" s="9">
        <v>0.95</v>
      </c>
      <c r="W7" s="9">
        <v>0.95</v>
      </c>
      <c r="X7" s="9">
        <v>0.95</v>
      </c>
      <c r="Y7" s="9">
        <v>0.95</v>
      </c>
      <c r="Z7" s="9">
        <v>0.95</v>
      </c>
      <c r="AA7" s="9">
        <v>0.95</v>
      </c>
      <c r="AB7" s="9">
        <v>0.95</v>
      </c>
      <c r="AC7" s="9">
        <v>0.95</v>
      </c>
      <c r="AD7" s="9">
        <v>0.95</v>
      </c>
      <c r="AE7" s="9">
        <v>0.95</v>
      </c>
      <c r="AF7" s="9">
        <v>0.95</v>
      </c>
    </row>
    <row r="8" spans="1:32" x14ac:dyDescent="0.25">
      <c r="A8" s="7">
        <v>2021</v>
      </c>
      <c r="B8" s="8" t="s">
        <v>61</v>
      </c>
      <c r="C8" s="9">
        <v>5.04E-2</v>
      </c>
      <c r="D8" s="9">
        <v>5.1100000000000013E-2</v>
      </c>
      <c r="E8" s="9">
        <v>5.2600000000000001E-2</v>
      </c>
      <c r="F8" s="9">
        <v>5.62E-2</v>
      </c>
      <c r="G8" s="9">
        <v>6.5799999999999997E-2</v>
      </c>
      <c r="H8" s="9">
        <v>8.8900000000000007E-2</v>
      </c>
      <c r="I8" s="9">
        <v>0.123</v>
      </c>
      <c r="J8" s="9">
        <v>0.18060000000000001</v>
      </c>
      <c r="K8" s="9">
        <v>0.28320000000000001</v>
      </c>
      <c r="L8" s="9">
        <v>0.41970000000000002</v>
      </c>
      <c r="M8" s="9">
        <v>0.56930000000000003</v>
      </c>
      <c r="N8" s="9">
        <v>0.70079999999999998</v>
      </c>
      <c r="O8" s="9">
        <v>0.80349999999999999</v>
      </c>
      <c r="P8" s="9">
        <v>0.88370000000000004</v>
      </c>
      <c r="Q8" s="9">
        <v>0.92489999999999994</v>
      </c>
      <c r="R8" s="9">
        <v>0.94420000000000004</v>
      </c>
      <c r="S8" s="9">
        <v>0.94930000000000003</v>
      </c>
      <c r="T8" s="9">
        <v>0.95</v>
      </c>
      <c r="U8" s="9">
        <v>0.95</v>
      </c>
      <c r="V8" s="9">
        <v>0.95</v>
      </c>
      <c r="W8" s="9">
        <v>0.95</v>
      </c>
      <c r="X8" s="9">
        <v>0.95</v>
      </c>
      <c r="Y8" s="9">
        <v>0.95</v>
      </c>
      <c r="Z8" s="9">
        <v>0.95</v>
      </c>
      <c r="AA8" s="9">
        <v>0.95</v>
      </c>
      <c r="AB8" s="9">
        <v>0.95</v>
      </c>
      <c r="AC8" s="9">
        <v>0.95</v>
      </c>
      <c r="AD8" s="9">
        <v>0.95</v>
      </c>
      <c r="AE8" s="9">
        <v>0.95</v>
      </c>
      <c r="AF8" s="9">
        <v>0.95</v>
      </c>
    </row>
    <row r="9" spans="1:32" x14ac:dyDescent="0.25">
      <c r="A9" s="7">
        <v>2806</v>
      </c>
      <c r="B9" s="8" t="s">
        <v>62</v>
      </c>
      <c r="C9" s="9">
        <v>5.0099999999999999E-2</v>
      </c>
      <c r="D9" s="9">
        <v>5.0299999999999997E-2</v>
      </c>
      <c r="E9" s="9">
        <v>5.0799999999999998E-2</v>
      </c>
      <c r="F9" s="9">
        <v>5.1999999999999998E-2</v>
      </c>
      <c r="G9" s="9">
        <v>5.5100000000000003E-2</v>
      </c>
      <c r="H9" s="9">
        <v>6.3200000000000006E-2</v>
      </c>
      <c r="I9" s="9">
        <v>7.6499999999999999E-2</v>
      </c>
      <c r="J9" s="9">
        <v>0.10199999999999999</v>
      </c>
      <c r="K9" s="9">
        <v>0.15629999999999999</v>
      </c>
      <c r="L9" s="9">
        <v>0.24990000000000001</v>
      </c>
      <c r="M9" s="9">
        <v>0.39100000000000001</v>
      </c>
      <c r="N9" s="9">
        <v>0.54049999999999998</v>
      </c>
      <c r="O9" s="9">
        <v>0.65890000000000004</v>
      </c>
      <c r="P9" s="9">
        <v>0.75989999999999991</v>
      </c>
      <c r="Q9" s="9">
        <v>0.83030000000000004</v>
      </c>
      <c r="R9" s="9">
        <v>0.88849999999999996</v>
      </c>
      <c r="S9" s="9">
        <v>0.92569999999999997</v>
      </c>
      <c r="T9" s="9">
        <v>0.94420000000000004</v>
      </c>
      <c r="U9" s="9">
        <v>0.94920000000000004</v>
      </c>
      <c r="V9" s="9">
        <v>0.95</v>
      </c>
      <c r="W9" s="9">
        <v>0.95</v>
      </c>
      <c r="X9" s="9">
        <v>0.95</v>
      </c>
      <c r="Y9" s="9">
        <v>0.95</v>
      </c>
      <c r="Z9" s="9">
        <v>0.95</v>
      </c>
      <c r="AA9" s="9">
        <v>0.95</v>
      </c>
      <c r="AB9" s="9">
        <v>0.95</v>
      </c>
      <c r="AC9" s="9">
        <v>0.95</v>
      </c>
      <c r="AD9" s="9">
        <v>0.95</v>
      </c>
      <c r="AE9" s="9">
        <v>0.95</v>
      </c>
      <c r="AF9" s="9">
        <v>0.95</v>
      </c>
    </row>
    <row r="10" spans="1:32" x14ac:dyDescent="0.25">
      <c r="A10" s="7">
        <v>3785</v>
      </c>
      <c r="B10" s="8" t="s">
        <v>63</v>
      </c>
      <c r="C10" s="9">
        <v>5.0099999999999999E-2</v>
      </c>
      <c r="D10" s="9">
        <v>5.0199999999999988E-2</v>
      </c>
      <c r="E10" s="9">
        <v>5.04E-2</v>
      </c>
      <c r="F10" s="9">
        <v>5.0900000000000001E-2</v>
      </c>
      <c r="G10" s="9">
        <v>5.2400000000000002E-2</v>
      </c>
      <c r="H10" s="9">
        <v>5.62E-2</v>
      </c>
      <c r="I10" s="9">
        <v>6.25E-2</v>
      </c>
      <c r="J10" s="9">
        <v>7.51E-2</v>
      </c>
      <c r="K10" s="9">
        <v>0.1046</v>
      </c>
      <c r="L10" s="9">
        <v>0.16339999999999999</v>
      </c>
      <c r="M10" s="9">
        <v>0.27350000000000002</v>
      </c>
      <c r="N10" s="9">
        <v>0.4224</v>
      </c>
      <c r="O10" s="9">
        <v>0.55349999999999999</v>
      </c>
      <c r="P10" s="9">
        <v>0.66430000000000011</v>
      </c>
      <c r="Q10" s="9">
        <v>0.74120000000000008</v>
      </c>
      <c r="R10" s="9">
        <v>0.80819999999999992</v>
      </c>
      <c r="S10" s="9">
        <v>0.86150000000000004</v>
      </c>
      <c r="T10" s="9">
        <v>0.90450000000000008</v>
      </c>
      <c r="U10" s="9">
        <v>0.93069999999999997</v>
      </c>
      <c r="V10" s="9">
        <v>0.94450000000000001</v>
      </c>
      <c r="W10" s="9">
        <v>0.94889999999999997</v>
      </c>
      <c r="X10" s="9">
        <v>0.94989999999999997</v>
      </c>
      <c r="Y10" s="9">
        <v>0.95</v>
      </c>
      <c r="Z10" s="9">
        <v>0.95</v>
      </c>
      <c r="AA10" s="9">
        <v>0.95</v>
      </c>
      <c r="AB10" s="9">
        <v>0.95</v>
      </c>
      <c r="AC10" s="9">
        <v>0.95</v>
      </c>
      <c r="AD10" s="9">
        <v>0.95</v>
      </c>
      <c r="AE10" s="9">
        <v>0.95</v>
      </c>
      <c r="AF10" s="9">
        <v>0.95</v>
      </c>
    </row>
    <row r="11" spans="1:32" x14ac:dyDescent="0.25">
      <c r="A11" s="7">
        <v>4374</v>
      </c>
      <c r="B11" s="8" t="s">
        <v>64</v>
      </c>
      <c r="C11" s="9">
        <v>0.05</v>
      </c>
      <c r="D11" s="9">
        <v>5.0099999999999999E-2</v>
      </c>
      <c r="E11" s="9">
        <v>5.0199999999999988E-2</v>
      </c>
      <c r="F11" s="9">
        <v>5.04E-2</v>
      </c>
      <c r="G11" s="9">
        <v>5.1200000000000002E-2</v>
      </c>
      <c r="H11" s="9">
        <v>5.3099999999999987E-2</v>
      </c>
      <c r="I11" s="9">
        <v>5.6399999999999999E-2</v>
      </c>
      <c r="J11" s="9">
        <v>6.3099999999999989E-2</v>
      </c>
      <c r="K11" s="9">
        <v>7.9100000000000004E-2</v>
      </c>
      <c r="L11" s="9">
        <v>0.11310000000000001</v>
      </c>
      <c r="M11" s="9">
        <v>0.18509999999999999</v>
      </c>
      <c r="N11" s="9">
        <v>0.3049</v>
      </c>
      <c r="O11" s="9">
        <v>0.436</v>
      </c>
      <c r="P11" s="9">
        <v>0.55479999999999996</v>
      </c>
      <c r="Q11" s="9">
        <v>0.63519999999999999</v>
      </c>
      <c r="R11" s="9">
        <v>0.70440000000000003</v>
      </c>
      <c r="S11" s="9">
        <v>0.76139999999999997</v>
      </c>
      <c r="T11" s="9">
        <v>0.81409999999999993</v>
      </c>
      <c r="U11" s="9">
        <v>0.85769999999999991</v>
      </c>
      <c r="V11" s="9">
        <v>0.8962</v>
      </c>
      <c r="W11" s="9">
        <v>0.9224</v>
      </c>
      <c r="X11" s="9">
        <v>0.93920000000000003</v>
      </c>
      <c r="Y11" s="9">
        <v>0.9466</v>
      </c>
      <c r="Z11" s="9">
        <v>0.94930000000000003</v>
      </c>
      <c r="AA11" s="9">
        <v>0.94989999999999997</v>
      </c>
      <c r="AB11" s="9">
        <v>0.95</v>
      </c>
      <c r="AC11" s="9">
        <v>0.95</v>
      </c>
      <c r="AD11" s="9">
        <v>0.95</v>
      </c>
      <c r="AE11" s="9">
        <v>0.95</v>
      </c>
      <c r="AF11" s="9">
        <v>0.95</v>
      </c>
    </row>
    <row r="12" spans="1:32" x14ac:dyDescent="0.25">
      <c r="A12" s="7">
        <v>4503</v>
      </c>
      <c r="B12" s="8" t="s">
        <v>65</v>
      </c>
      <c r="C12" s="9">
        <v>0.05</v>
      </c>
      <c r="D12" s="9">
        <v>0.05</v>
      </c>
      <c r="E12" s="9">
        <v>5.0099999999999999E-2</v>
      </c>
      <c r="F12" s="9">
        <v>5.0199999999999988E-2</v>
      </c>
      <c r="G12" s="9">
        <v>5.0599999999999999E-2</v>
      </c>
      <c r="H12" s="9">
        <v>5.16E-2</v>
      </c>
      <c r="I12" s="9">
        <v>5.33E-2</v>
      </c>
      <c r="J12" s="9">
        <v>5.6800000000000003E-2</v>
      </c>
      <c r="K12" s="9">
        <v>6.5199999999999994E-2</v>
      </c>
      <c r="L12" s="9">
        <v>8.3699999999999997E-2</v>
      </c>
      <c r="M12" s="9">
        <v>0.1258</v>
      </c>
      <c r="N12" s="9">
        <v>0.2072</v>
      </c>
      <c r="O12" s="9">
        <v>0.31900000000000001</v>
      </c>
      <c r="P12" s="9">
        <v>0.44230000000000003</v>
      </c>
      <c r="Q12" s="9">
        <v>0.53110000000000002</v>
      </c>
      <c r="R12" s="9">
        <v>0.60750000000000004</v>
      </c>
      <c r="S12" s="9">
        <v>0.66879999999999995</v>
      </c>
      <c r="T12" s="9">
        <v>0.72329999999999994</v>
      </c>
      <c r="U12" s="9">
        <v>0.76840000000000008</v>
      </c>
      <c r="V12" s="9">
        <v>0.81220000000000003</v>
      </c>
      <c r="W12" s="9">
        <v>0.84970000000000001</v>
      </c>
      <c r="X12" s="9">
        <v>0.88489999999999991</v>
      </c>
      <c r="Y12" s="9">
        <v>0.91189999999999993</v>
      </c>
      <c r="Z12" s="9">
        <v>0.93180000000000007</v>
      </c>
      <c r="AA12" s="9">
        <v>0.94299999999999995</v>
      </c>
      <c r="AB12" s="9">
        <v>0.94810000000000005</v>
      </c>
      <c r="AC12" s="9">
        <v>0.94969999999999999</v>
      </c>
      <c r="AD12" s="9">
        <v>0.95</v>
      </c>
      <c r="AE12" s="9">
        <v>0.95</v>
      </c>
      <c r="AF12" s="9">
        <v>0.95</v>
      </c>
    </row>
    <row r="13" spans="1:32" x14ac:dyDescent="0.25">
      <c r="A13" s="7">
        <v>4470</v>
      </c>
      <c r="B13" s="8" t="s">
        <v>66</v>
      </c>
      <c r="C13" s="9">
        <v>0.05</v>
      </c>
      <c r="D13" s="9">
        <v>0.05</v>
      </c>
      <c r="E13" s="9">
        <v>0.05</v>
      </c>
      <c r="F13" s="9">
        <v>5.0099999999999999E-2</v>
      </c>
      <c r="G13" s="9">
        <v>5.0299999999999997E-2</v>
      </c>
      <c r="H13" s="9">
        <v>5.0799999999999998E-2</v>
      </c>
      <c r="I13" s="9">
        <v>5.1700000000000003E-2</v>
      </c>
      <c r="J13" s="9">
        <v>5.3499999999999999E-2</v>
      </c>
      <c r="K13" s="9">
        <v>5.8000000000000003E-2</v>
      </c>
      <c r="L13" s="9">
        <v>6.7799999999999999E-2</v>
      </c>
      <c r="M13" s="9">
        <v>9.1300000000000006E-2</v>
      </c>
      <c r="N13" s="9">
        <v>0.14099999999999999</v>
      </c>
      <c r="O13" s="9">
        <v>0.22170000000000001</v>
      </c>
      <c r="P13" s="9">
        <v>0.33329999999999999</v>
      </c>
      <c r="Q13" s="9">
        <v>0.42780000000000001</v>
      </c>
      <c r="R13" s="9">
        <v>0.51180000000000003</v>
      </c>
      <c r="S13" s="9">
        <v>0.57830000000000004</v>
      </c>
      <c r="T13" s="9">
        <v>0.63570000000000004</v>
      </c>
      <c r="U13" s="9">
        <v>0.68140000000000001</v>
      </c>
      <c r="V13" s="9">
        <v>0.72499999999999998</v>
      </c>
      <c r="W13" s="9">
        <v>0.76349999999999996</v>
      </c>
      <c r="X13" s="9">
        <v>0.80330000000000001</v>
      </c>
      <c r="Y13" s="9">
        <v>0.83950000000000002</v>
      </c>
      <c r="Z13" s="9">
        <v>0.87470000000000003</v>
      </c>
      <c r="AA13" s="9">
        <v>0.90390000000000004</v>
      </c>
      <c r="AB13" s="9">
        <v>0.92659999999999998</v>
      </c>
      <c r="AC13" s="9">
        <v>0.94069999999999998</v>
      </c>
      <c r="AD13" s="9">
        <v>0.94739999999999991</v>
      </c>
      <c r="AE13" s="9">
        <v>0.95</v>
      </c>
      <c r="AF13" s="9">
        <v>0.95</v>
      </c>
    </row>
    <row r="14" spans="1:32" x14ac:dyDescent="0.25">
      <c r="A14" s="7">
        <v>4276</v>
      </c>
      <c r="B14" s="8" t="s">
        <v>67</v>
      </c>
      <c r="C14" s="9">
        <v>0.05</v>
      </c>
      <c r="D14" s="9">
        <v>0.05</v>
      </c>
      <c r="E14" s="9">
        <v>0.05</v>
      </c>
      <c r="F14" s="9">
        <v>5.0099999999999999E-2</v>
      </c>
      <c r="G14" s="9">
        <v>5.0199999999999988E-2</v>
      </c>
      <c r="H14" s="9">
        <v>5.04E-2</v>
      </c>
      <c r="I14" s="9">
        <v>5.0900000000000001E-2</v>
      </c>
      <c r="J14" s="9">
        <v>5.1799999999999999E-2</v>
      </c>
      <c r="K14" s="9">
        <v>5.4000000000000013E-2</v>
      </c>
      <c r="L14" s="9">
        <v>5.91E-2</v>
      </c>
      <c r="M14" s="9">
        <v>7.1500000000000008E-2</v>
      </c>
      <c r="N14" s="9">
        <v>9.9399999999999988E-2</v>
      </c>
      <c r="O14" s="9">
        <v>0.15</v>
      </c>
      <c r="P14" s="9">
        <v>0.23519999999999999</v>
      </c>
      <c r="Q14" s="9">
        <v>0.32519999999999999</v>
      </c>
      <c r="R14" s="9">
        <v>0.41720000000000002</v>
      </c>
      <c r="S14" s="9">
        <v>0.49249999999999999</v>
      </c>
      <c r="T14" s="9">
        <v>0.55700000000000005</v>
      </c>
      <c r="U14" s="9">
        <v>0.60780000000000001</v>
      </c>
      <c r="V14" s="9">
        <v>0.65480000000000005</v>
      </c>
      <c r="W14" s="9">
        <v>0.69450000000000001</v>
      </c>
      <c r="X14" s="9">
        <v>0.73409999999999997</v>
      </c>
      <c r="Y14" s="9">
        <v>0.7702</v>
      </c>
      <c r="Z14" s="9">
        <v>0.80769999999999997</v>
      </c>
      <c r="AA14" s="9">
        <v>0.84319999999999995</v>
      </c>
      <c r="AB14" s="9">
        <v>0.87739999999999996</v>
      </c>
      <c r="AC14" s="9">
        <v>0.90700000000000003</v>
      </c>
      <c r="AD14" s="9">
        <v>0.92930000000000001</v>
      </c>
      <c r="AE14" s="9">
        <v>0.94969999999999999</v>
      </c>
      <c r="AF14" s="9">
        <v>0.95</v>
      </c>
    </row>
    <row r="15" spans="1:32" x14ac:dyDescent="0.25">
      <c r="A15" s="7">
        <v>4380</v>
      </c>
      <c r="B15" s="8" t="s">
        <v>68</v>
      </c>
      <c r="C15" s="9">
        <v>0.05</v>
      </c>
      <c r="D15" s="9">
        <v>0.05</v>
      </c>
      <c r="E15" s="9">
        <v>0.05</v>
      </c>
      <c r="F15" s="9">
        <v>0.05</v>
      </c>
      <c r="G15" s="9">
        <v>5.0099999999999999E-2</v>
      </c>
      <c r="H15" s="9">
        <v>5.0199999999999988E-2</v>
      </c>
      <c r="I15" s="9">
        <v>5.0500000000000003E-2</v>
      </c>
      <c r="J15" s="9">
        <v>5.0999999999999997E-2</v>
      </c>
      <c r="K15" s="9">
        <v>5.2300000000000013E-2</v>
      </c>
      <c r="L15" s="9">
        <v>5.5300000000000002E-2</v>
      </c>
      <c r="M15" s="9">
        <v>6.25E-2</v>
      </c>
      <c r="N15" s="9">
        <v>7.9299999999999995E-2</v>
      </c>
      <c r="O15" s="9">
        <v>0.1114</v>
      </c>
      <c r="P15" s="9">
        <v>0.17150000000000001</v>
      </c>
      <c r="Q15" s="9">
        <v>0.2457</v>
      </c>
      <c r="R15" s="9">
        <v>0.33600000000000002</v>
      </c>
      <c r="S15" s="9">
        <v>0.41920000000000002</v>
      </c>
      <c r="T15" s="9">
        <v>0.49230000000000002</v>
      </c>
      <c r="U15" s="9">
        <v>0.54820000000000002</v>
      </c>
      <c r="V15" s="9">
        <v>0.59819999999999995</v>
      </c>
      <c r="W15" s="9">
        <v>0.6391</v>
      </c>
      <c r="X15" s="9">
        <v>0.67870000000000008</v>
      </c>
      <c r="Y15" s="9">
        <v>0.71379999999999999</v>
      </c>
      <c r="Z15" s="9">
        <v>0.74970000000000003</v>
      </c>
      <c r="AA15" s="9">
        <v>0.78439999999999999</v>
      </c>
      <c r="AB15" s="9">
        <v>0.82030000000000003</v>
      </c>
      <c r="AC15" s="9">
        <v>0.85609999999999997</v>
      </c>
      <c r="AD15" s="9">
        <v>0.88969999999999994</v>
      </c>
      <c r="AE15" s="9">
        <v>0.94579999999999997</v>
      </c>
      <c r="AF15" s="9">
        <v>0.95</v>
      </c>
    </row>
    <row r="16" spans="1:32" x14ac:dyDescent="0.25">
      <c r="A16" s="7">
        <v>4674</v>
      </c>
      <c r="B16" s="8" t="s">
        <v>69</v>
      </c>
      <c r="C16" s="9">
        <v>0.05</v>
      </c>
      <c r="D16" s="9">
        <v>0.05</v>
      </c>
      <c r="E16" s="9">
        <v>0.05</v>
      </c>
      <c r="F16" s="9">
        <v>0.05</v>
      </c>
      <c r="G16" s="9">
        <v>5.0099999999999999E-2</v>
      </c>
      <c r="H16" s="9">
        <v>5.0199999999999988E-2</v>
      </c>
      <c r="I16" s="9">
        <v>5.0299999999999997E-2</v>
      </c>
      <c r="J16" s="9">
        <v>5.0700000000000002E-2</v>
      </c>
      <c r="K16" s="9">
        <v>5.1499999999999997E-2</v>
      </c>
      <c r="L16" s="9">
        <v>5.3499999999999999E-2</v>
      </c>
      <c r="M16" s="9">
        <v>5.8200000000000002E-2</v>
      </c>
      <c r="N16" s="9">
        <v>6.9400000000000003E-2</v>
      </c>
      <c r="O16" s="9">
        <v>9.1400000000000009E-2</v>
      </c>
      <c r="P16" s="9">
        <v>0.13489999999999999</v>
      </c>
      <c r="Q16" s="9">
        <v>0.19350000000000001</v>
      </c>
      <c r="R16" s="9">
        <v>0.27379999999999999</v>
      </c>
      <c r="S16" s="9">
        <v>0.35780000000000001</v>
      </c>
      <c r="T16" s="9">
        <v>0.43790000000000001</v>
      </c>
      <c r="U16" s="9">
        <v>0.501</v>
      </c>
      <c r="V16" s="9">
        <v>0.55779999999999996</v>
      </c>
      <c r="W16" s="9">
        <v>0.60340000000000005</v>
      </c>
      <c r="X16" s="9">
        <v>0.64579999999999993</v>
      </c>
      <c r="Y16" s="9">
        <v>0.68140000000000001</v>
      </c>
      <c r="Z16" s="9">
        <v>0.71579999999999999</v>
      </c>
      <c r="AA16" s="9">
        <v>0.74769999999999992</v>
      </c>
      <c r="AB16" s="9">
        <v>0.7802</v>
      </c>
      <c r="AC16" s="9">
        <v>0.81370000000000009</v>
      </c>
      <c r="AD16" s="9">
        <v>0.84799999999999998</v>
      </c>
      <c r="AE16" s="9">
        <v>0.93120000000000003</v>
      </c>
      <c r="AF16" s="9">
        <v>0.94980000000000009</v>
      </c>
    </row>
    <row r="17" spans="1:32" x14ac:dyDescent="0.25">
      <c r="A17" s="7">
        <v>5269</v>
      </c>
      <c r="B17" s="8" t="s">
        <v>70</v>
      </c>
      <c r="C17" s="9">
        <v>0.05</v>
      </c>
      <c r="D17" s="9">
        <v>0.05</v>
      </c>
      <c r="E17" s="9">
        <v>0.05</v>
      </c>
      <c r="F17" s="9">
        <v>0.05</v>
      </c>
      <c r="G17" s="9">
        <v>0.05</v>
      </c>
      <c r="H17" s="9">
        <v>5.0099999999999999E-2</v>
      </c>
      <c r="I17" s="9">
        <v>5.0199999999999988E-2</v>
      </c>
      <c r="J17" s="9">
        <v>5.04E-2</v>
      </c>
      <c r="K17" s="9">
        <v>5.0900000000000001E-2</v>
      </c>
      <c r="L17" s="9">
        <v>5.1999999999999998E-2</v>
      </c>
      <c r="M17" s="9">
        <v>5.4800000000000001E-2</v>
      </c>
      <c r="N17" s="9">
        <v>6.13E-2</v>
      </c>
      <c r="O17" s="9">
        <v>7.4400000000000008E-2</v>
      </c>
      <c r="P17" s="9">
        <v>0.1012</v>
      </c>
      <c r="Q17" s="9">
        <v>0.13950000000000001</v>
      </c>
      <c r="R17" s="9">
        <v>0.1968</v>
      </c>
      <c r="S17" s="9">
        <v>0.2641</v>
      </c>
      <c r="T17" s="9">
        <v>0.33510000000000001</v>
      </c>
      <c r="U17" s="9">
        <v>0.39329999999999998</v>
      </c>
      <c r="V17" s="9">
        <v>0.44540000000000002</v>
      </c>
      <c r="W17" s="9">
        <v>0.48699999999999999</v>
      </c>
      <c r="X17" s="9">
        <v>0.52579999999999993</v>
      </c>
      <c r="Y17" s="9">
        <v>0.55869999999999997</v>
      </c>
      <c r="Z17" s="9">
        <v>0.59119999999999995</v>
      </c>
      <c r="AA17" s="9">
        <v>0.62229999999999996</v>
      </c>
      <c r="AB17" s="9">
        <v>0.65549999999999997</v>
      </c>
      <c r="AC17" s="9">
        <v>0.69169999999999998</v>
      </c>
      <c r="AD17" s="9">
        <v>0.73209999999999997</v>
      </c>
      <c r="AE17" s="9">
        <v>0.86719999999999997</v>
      </c>
      <c r="AF17" s="9">
        <v>0.94459999999999988</v>
      </c>
    </row>
    <row r="18" spans="1:32" x14ac:dyDescent="0.25">
      <c r="A18" s="7">
        <v>16</v>
      </c>
      <c r="B18" s="8" t="s">
        <v>71</v>
      </c>
      <c r="C18" s="9">
        <v>0.46810000000000002</v>
      </c>
      <c r="D18" s="9">
        <v>0.69349999999999989</v>
      </c>
      <c r="E18" s="9">
        <v>0.85180000000000011</v>
      </c>
      <c r="F18" s="9">
        <v>0.92209999999999992</v>
      </c>
      <c r="G18" s="9">
        <v>0.94599999999999995</v>
      </c>
      <c r="H18" s="9">
        <v>0.94989999999999997</v>
      </c>
      <c r="I18" s="9">
        <v>0.95</v>
      </c>
      <c r="J18" s="9">
        <v>0.95</v>
      </c>
      <c r="K18" s="9">
        <v>0.95</v>
      </c>
      <c r="L18" s="9">
        <v>0.95</v>
      </c>
      <c r="M18" s="9">
        <v>0.95</v>
      </c>
      <c r="N18" s="9">
        <v>0.95</v>
      </c>
      <c r="O18" s="9">
        <v>0.95</v>
      </c>
      <c r="P18" s="9">
        <v>0.95</v>
      </c>
      <c r="Q18" s="9">
        <v>0.95</v>
      </c>
      <c r="R18" s="9">
        <v>0.95</v>
      </c>
      <c r="S18" s="9">
        <v>0.95</v>
      </c>
      <c r="T18" s="9">
        <v>0.95</v>
      </c>
      <c r="U18" s="9">
        <v>0.95</v>
      </c>
      <c r="V18" s="9">
        <v>0.95</v>
      </c>
      <c r="W18" s="9">
        <v>0.95</v>
      </c>
      <c r="X18" s="9">
        <v>0.95</v>
      </c>
      <c r="Y18" s="9">
        <v>0.95</v>
      </c>
      <c r="Z18" s="9">
        <v>0.95</v>
      </c>
      <c r="AA18" s="9">
        <v>0.95</v>
      </c>
      <c r="AB18" s="9">
        <v>0.95</v>
      </c>
      <c r="AC18" s="9">
        <v>0.95</v>
      </c>
      <c r="AD18" s="9">
        <v>0.95</v>
      </c>
      <c r="AE18" s="9">
        <v>0.95</v>
      </c>
      <c r="AF18" s="9">
        <v>0.95</v>
      </c>
    </row>
    <row r="19" spans="1:32" x14ac:dyDescent="0.25">
      <c r="A19" s="7">
        <v>36</v>
      </c>
      <c r="B19" s="8" t="s">
        <v>72</v>
      </c>
      <c r="C19" s="9">
        <v>8.0299999999999996E-2</v>
      </c>
      <c r="D19" s="9">
        <v>0.12670000000000001</v>
      </c>
      <c r="E19" s="9">
        <v>0.22239999999999999</v>
      </c>
      <c r="F19" s="9">
        <v>0.40579999999999999</v>
      </c>
      <c r="G19" s="9">
        <v>0.69959999999999989</v>
      </c>
      <c r="H19" s="9">
        <v>0.90900000000000003</v>
      </c>
      <c r="I19" s="9">
        <v>0.94700000000000006</v>
      </c>
      <c r="J19" s="9">
        <v>0.95</v>
      </c>
      <c r="K19" s="9">
        <v>0.95</v>
      </c>
      <c r="L19" s="9">
        <v>0.95</v>
      </c>
      <c r="M19" s="9">
        <v>0.95</v>
      </c>
      <c r="N19" s="9">
        <v>0.95</v>
      </c>
      <c r="O19" s="9">
        <v>0.95</v>
      </c>
      <c r="P19" s="9">
        <v>0.95</v>
      </c>
      <c r="Q19" s="9">
        <v>0.95</v>
      </c>
      <c r="R19" s="9">
        <v>0.95</v>
      </c>
      <c r="S19" s="9">
        <v>0.95</v>
      </c>
      <c r="T19" s="9">
        <v>0.95</v>
      </c>
      <c r="U19" s="9">
        <v>0.95</v>
      </c>
      <c r="V19" s="9">
        <v>0.95</v>
      </c>
      <c r="W19" s="9">
        <v>0.95</v>
      </c>
      <c r="X19" s="9">
        <v>0.95</v>
      </c>
      <c r="Y19" s="9">
        <v>0.95</v>
      </c>
      <c r="Z19" s="9">
        <v>0.95</v>
      </c>
      <c r="AA19" s="9">
        <v>0.95</v>
      </c>
      <c r="AB19" s="9">
        <v>0.95</v>
      </c>
      <c r="AC19" s="9">
        <v>0.95</v>
      </c>
      <c r="AD19" s="9">
        <v>0.95</v>
      </c>
      <c r="AE19" s="9">
        <v>0.95</v>
      </c>
      <c r="AF19" s="9">
        <v>0.95</v>
      </c>
    </row>
    <row r="20" spans="1:32" x14ac:dyDescent="0.25">
      <c r="A20" s="7">
        <v>100</v>
      </c>
      <c r="B20" s="8" t="s">
        <v>73</v>
      </c>
      <c r="C20" s="9">
        <v>6.1799999999999987E-2</v>
      </c>
      <c r="D20" s="9">
        <v>8.0399999999999985E-2</v>
      </c>
      <c r="E20" s="9">
        <v>0.1212</v>
      </c>
      <c r="F20" s="9">
        <v>0.21029999999999999</v>
      </c>
      <c r="G20" s="9">
        <v>0.40870000000000001</v>
      </c>
      <c r="H20" s="9">
        <v>0.70030000000000003</v>
      </c>
      <c r="I20" s="9">
        <v>0.87370000000000003</v>
      </c>
      <c r="J20" s="9">
        <v>0.9405</v>
      </c>
      <c r="K20" s="9">
        <v>0.94989999999999997</v>
      </c>
      <c r="L20" s="9">
        <v>0.95</v>
      </c>
      <c r="M20" s="9">
        <v>0.95</v>
      </c>
      <c r="N20" s="9">
        <v>0.95</v>
      </c>
      <c r="O20" s="9">
        <v>0.95</v>
      </c>
      <c r="P20" s="9">
        <v>0.95</v>
      </c>
      <c r="Q20" s="9">
        <v>0.95</v>
      </c>
      <c r="R20" s="9">
        <v>0.95</v>
      </c>
      <c r="S20" s="9">
        <v>0.95</v>
      </c>
      <c r="T20" s="9">
        <v>0.95</v>
      </c>
      <c r="U20" s="9">
        <v>0.95</v>
      </c>
      <c r="V20" s="9">
        <v>0.95</v>
      </c>
      <c r="W20" s="9">
        <v>0.95</v>
      </c>
      <c r="X20" s="9">
        <v>0.95</v>
      </c>
      <c r="Y20" s="9">
        <v>0.95</v>
      </c>
      <c r="Z20" s="9">
        <v>0.95</v>
      </c>
      <c r="AA20" s="9">
        <v>0.95</v>
      </c>
      <c r="AB20" s="9">
        <v>0.95</v>
      </c>
      <c r="AC20" s="9">
        <v>0.95</v>
      </c>
      <c r="AD20" s="9">
        <v>0.95</v>
      </c>
      <c r="AE20" s="9">
        <v>0.95</v>
      </c>
      <c r="AF20" s="9">
        <v>0.95</v>
      </c>
    </row>
    <row r="21" spans="1:32" x14ac:dyDescent="0.25">
      <c r="A21" s="7">
        <v>314</v>
      </c>
      <c r="B21" s="8" t="s">
        <v>74</v>
      </c>
      <c r="C21" s="9">
        <v>5.5300000000000002E-2</v>
      </c>
      <c r="D21" s="9">
        <v>6.3700000000000007E-2</v>
      </c>
      <c r="E21" s="9">
        <v>8.2500000000000004E-2</v>
      </c>
      <c r="F21" s="9">
        <v>0.12559999999999999</v>
      </c>
      <c r="G21" s="9">
        <v>0.2344</v>
      </c>
      <c r="H21" s="9">
        <v>0.45159999999999989</v>
      </c>
      <c r="I21" s="9">
        <v>0.6714</v>
      </c>
      <c r="J21" s="9">
        <v>0.8538</v>
      </c>
      <c r="K21" s="9">
        <v>0.93859999999999999</v>
      </c>
      <c r="L21" s="9">
        <v>0.94980000000000009</v>
      </c>
      <c r="M21" s="9">
        <v>0.95</v>
      </c>
      <c r="N21" s="9">
        <v>0.95</v>
      </c>
      <c r="O21" s="9">
        <v>0.95</v>
      </c>
      <c r="P21" s="9">
        <v>0.95</v>
      </c>
      <c r="Q21" s="9">
        <v>0.95</v>
      </c>
      <c r="R21" s="9">
        <v>0.95</v>
      </c>
      <c r="S21" s="9">
        <v>0.95</v>
      </c>
      <c r="T21" s="9">
        <v>0.95</v>
      </c>
      <c r="U21" s="9">
        <v>0.95</v>
      </c>
      <c r="V21" s="9">
        <v>0.95</v>
      </c>
      <c r="W21" s="9">
        <v>0.95</v>
      </c>
      <c r="X21" s="9">
        <v>0.95</v>
      </c>
      <c r="Y21" s="9">
        <v>0.95</v>
      </c>
      <c r="Z21" s="9">
        <v>0.95</v>
      </c>
      <c r="AA21" s="9">
        <v>0.95</v>
      </c>
      <c r="AB21" s="9">
        <v>0.95</v>
      </c>
      <c r="AC21" s="9">
        <v>0.95</v>
      </c>
      <c r="AD21" s="9">
        <v>0.95</v>
      </c>
      <c r="AE21" s="9">
        <v>0.95</v>
      </c>
      <c r="AF21" s="9">
        <v>0.95</v>
      </c>
    </row>
    <row r="22" spans="1:32" x14ac:dyDescent="0.25">
      <c r="A22" s="7">
        <v>909</v>
      </c>
      <c r="B22" s="8" t="s">
        <v>75</v>
      </c>
      <c r="C22" s="9">
        <v>5.2200000000000003E-2</v>
      </c>
      <c r="D22" s="9">
        <v>5.57E-2</v>
      </c>
      <c r="E22" s="9">
        <v>6.3700000000000007E-2</v>
      </c>
      <c r="F22" s="9">
        <v>8.2400000000000001E-2</v>
      </c>
      <c r="G22" s="9">
        <v>0.1326</v>
      </c>
      <c r="H22" s="9">
        <v>0.24970000000000001</v>
      </c>
      <c r="I22" s="9">
        <v>0.40849999999999997</v>
      </c>
      <c r="J22" s="9">
        <v>0.62119999999999997</v>
      </c>
      <c r="K22" s="9">
        <v>0.83879999999999999</v>
      </c>
      <c r="L22" s="9">
        <v>0.93519999999999992</v>
      </c>
      <c r="M22" s="9">
        <v>0.94980000000000009</v>
      </c>
      <c r="N22" s="9">
        <v>0.95</v>
      </c>
      <c r="O22" s="9">
        <v>0.95</v>
      </c>
      <c r="P22" s="9">
        <v>0.95</v>
      </c>
      <c r="Q22" s="9">
        <v>0.95</v>
      </c>
      <c r="R22" s="9">
        <v>0.95</v>
      </c>
      <c r="S22" s="9">
        <v>0.95</v>
      </c>
      <c r="T22" s="9">
        <v>0.95</v>
      </c>
      <c r="U22" s="9">
        <v>0.95</v>
      </c>
      <c r="V22" s="9">
        <v>0.95</v>
      </c>
      <c r="W22" s="9">
        <v>0.95</v>
      </c>
      <c r="X22" s="9">
        <v>0.95</v>
      </c>
      <c r="Y22" s="9">
        <v>0.95</v>
      </c>
      <c r="Z22" s="9">
        <v>0.95</v>
      </c>
      <c r="AA22" s="9">
        <v>0.95</v>
      </c>
      <c r="AB22" s="9">
        <v>0.95</v>
      </c>
      <c r="AC22" s="9">
        <v>0.95</v>
      </c>
      <c r="AD22" s="9">
        <v>0.95</v>
      </c>
      <c r="AE22" s="9">
        <v>0.95</v>
      </c>
      <c r="AF22" s="9">
        <v>0.95</v>
      </c>
    </row>
    <row r="23" spans="1:32" x14ac:dyDescent="0.25">
      <c r="A23" s="7">
        <v>1086</v>
      </c>
      <c r="B23" s="8" t="s">
        <v>76</v>
      </c>
      <c r="C23" s="9">
        <v>5.0799999999999998E-2</v>
      </c>
      <c r="D23" s="9">
        <v>5.1999999999999998E-2</v>
      </c>
      <c r="E23" s="9">
        <v>5.4800000000000001E-2</v>
      </c>
      <c r="F23" s="9">
        <v>6.1500000000000013E-2</v>
      </c>
      <c r="G23" s="9">
        <v>7.9899999999999999E-2</v>
      </c>
      <c r="H23" s="9">
        <v>0.12670000000000001</v>
      </c>
      <c r="I23" s="9">
        <v>0.20069999999999999</v>
      </c>
      <c r="J23" s="9">
        <v>0.33169999999999999</v>
      </c>
      <c r="K23" s="9">
        <v>0.56000000000000005</v>
      </c>
      <c r="L23" s="9">
        <v>0.80299999999999994</v>
      </c>
      <c r="M23" s="9">
        <v>0.93209999999999993</v>
      </c>
      <c r="N23" s="9">
        <v>0.94969999999999999</v>
      </c>
      <c r="O23" s="9">
        <v>0.95</v>
      </c>
      <c r="P23" s="9">
        <v>0.95</v>
      </c>
      <c r="Q23" s="9">
        <v>0.95</v>
      </c>
      <c r="R23" s="9">
        <v>0.95</v>
      </c>
      <c r="S23" s="9">
        <v>0.95</v>
      </c>
      <c r="T23" s="9">
        <v>0.95</v>
      </c>
      <c r="U23" s="9">
        <v>0.95</v>
      </c>
      <c r="V23" s="9">
        <v>0.95</v>
      </c>
      <c r="W23" s="9">
        <v>0.95</v>
      </c>
      <c r="X23" s="9">
        <v>0.95</v>
      </c>
      <c r="Y23" s="9">
        <v>0.95</v>
      </c>
      <c r="Z23" s="9">
        <v>0.95</v>
      </c>
      <c r="AA23" s="9">
        <v>0.95</v>
      </c>
      <c r="AB23" s="9">
        <v>0.95</v>
      </c>
      <c r="AC23" s="9">
        <v>0.95</v>
      </c>
      <c r="AD23" s="9">
        <v>0.95</v>
      </c>
      <c r="AE23" s="9">
        <v>0.95</v>
      </c>
      <c r="AF23" s="9">
        <v>0.95</v>
      </c>
    </row>
    <row r="24" spans="1:32" x14ac:dyDescent="0.25">
      <c r="A24" s="7">
        <v>1821</v>
      </c>
      <c r="B24" s="8" t="s">
        <v>77</v>
      </c>
      <c r="C24" s="9">
        <v>5.0500000000000003E-2</v>
      </c>
      <c r="D24" s="9">
        <v>5.1200000000000002E-2</v>
      </c>
      <c r="E24" s="9">
        <v>5.2900000000000003E-2</v>
      </c>
      <c r="F24" s="9">
        <v>5.6900000000000013E-2</v>
      </c>
      <c r="G24" s="9">
        <v>6.8099999999999994E-2</v>
      </c>
      <c r="H24" s="9">
        <v>9.6799999999999997E-2</v>
      </c>
      <c r="I24" s="9">
        <v>0.14380000000000001</v>
      </c>
      <c r="J24" s="9">
        <v>0.23200000000000001</v>
      </c>
      <c r="K24" s="9">
        <v>0.40710000000000002</v>
      </c>
      <c r="L24" s="9">
        <v>0.65239999999999998</v>
      </c>
      <c r="M24" s="9">
        <v>0.87109999999999999</v>
      </c>
      <c r="N24" s="9">
        <v>0.94440000000000002</v>
      </c>
      <c r="O24" s="9">
        <v>0.95</v>
      </c>
      <c r="P24" s="9">
        <v>0.95</v>
      </c>
      <c r="Q24" s="9">
        <v>0.95</v>
      </c>
      <c r="R24" s="9">
        <v>0.95</v>
      </c>
      <c r="S24" s="9">
        <v>0.95</v>
      </c>
      <c r="T24" s="9">
        <v>0.95</v>
      </c>
      <c r="U24" s="9">
        <v>0.95</v>
      </c>
      <c r="V24" s="9">
        <v>0.95</v>
      </c>
      <c r="W24" s="9">
        <v>0.95</v>
      </c>
      <c r="X24" s="9">
        <v>0.95</v>
      </c>
      <c r="Y24" s="9">
        <v>0.95</v>
      </c>
      <c r="Z24" s="9">
        <v>0.95</v>
      </c>
      <c r="AA24" s="9">
        <v>0.95</v>
      </c>
      <c r="AB24" s="9">
        <v>0.95</v>
      </c>
      <c r="AC24" s="9">
        <v>0.95</v>
      </c>
      <c r="AD24" s="9">
        <v>0.95</v>
      </c>
      <c r="AE24" s="9">
        <v>0.95</v>
      </c>
      <c r="AF24" s="9">
        <v>0.95</v>
      </c>
    </row>
    <row r="25" spans="1:32" x14ac:dyDescent="0.25">
      <c r="A25" s="7">
        <v>2278</v>
      </c>
      <c r="B25" s="8" t="s">
        <v>78</v>
      </c>
      <c r="C25" s="9">
        <v>5.0299999999999997E-2</v>
      </c>
      <c r="D25" s="9">
        <v>5.0700000000000002E-2</v>
      </c>
      <c r="E25" s="9">
        <v>5.1700000000000003E-2</v>
      </c>
      <c r="F25" s="9">
        <v>5.4100000000000002E-2</v>
      </c>
      <c r="G25" s="9">
        <v>6.0699999999999997E-2</v>
      </c>
      <c r="H25" s="9">
        <v>7.8E-2</v>
      </c>
      <c r="I25" s="9">
        <v>0.1069</v>
      </c>
      <c r="J25" s="9">
        <v>0.16300000000000001</v>
      </c>
      <c r="K25" s="9">
        <v>0.28449999999999998</v>
      </c>
      <c r="L25" s="9">
        <v>0.4889</v>
      </c>
      <c r="M25" s="9">
        <v>0.74959999999999993</v>
      </c>
      <c r="N25" s="9">
        <v>0.91249999999999998</v>
      </c>
      <c r="O25" s="9">
        <v>0.94790000000000008</v>
      </c>
      <c r="P25" s="9">
        <v>0.95</v>
      </c>
      <c r="Q25" s="9">
        <v>0.95</v>
      </c>
      <c r="R25" s="9">
        <v>0.95</v>
      </c>
      <c r="S25" s="9">
        <v>0.95</v>
      </c>
      <c r="T25" s="9">
        <v>0.95</v>
      </c>
      <c r="U25" s="9">
        <v>0.95</v>
      </c>
      <c r="V25" s="9">
        <v>0.95</v>
      </c>
      <c r="W25" s="9">
        <v>0.95</v>
      </c>
      <c r="X25" s="9">
        <v>0.95</v>
      </c>
      <c r="Y25" s="9">
        <v>0.95</v>
      </c>
      <c r="Z25" s="9">
        <v>0.95</v>
      </c>
      <c r="AA25" s="9">
        <v>0.95</v>
      </c>
      <c r="AB25" s="9">
        <v>0.95</v>
      </c>
      <c r="AC25" s="9">
        <v>0.95</v>
      </c>
      <c r="AD25" s="9">
        <v>0.95</v>
      </c>
      <c r="AE25" s="9">
        <v>0.95</v>
      </c>
      <c r="AF25" s="9">
        <v>0.95</v>
      </c>
    </row>
    <row r="26" spans="1:32" x14ac:dyDescent="0.25">
      <c r="A26" s="7">
        <v>2558</v>
      </c>
      <c r="B26" s="8" t="s">
        <v>79</v>
      </c>
      <c r="C26" s="9">
        <v>5.0199999999999988E-2</v>
      </c>
      <c r="D26" s="9">
        <v>5.0500000000000003E-2</v>
      </c>
      <c r="E26" s="9">
        <v>5.1100000000000013E-2</v>
      </c>
      <c r="F26" s="9">
        <v>5.2600000000000001E-2</v>
      </c>
      <c r="G26" s="9">
        <v>5.6800000000000003E-2</v>
      </c>
      <c r="H26" s="9">
        <v>6.7900000000000002E-2</v>
      </c>
      <c r="I26" s="9">
        <v>8.6500000000000007E-2</v>
      </c>
      <c r="J26" s="9">
        <v>0.1234</v>
      </c>
      <c r="K26" s="9">
        <v>0.2072</v>
      </c>
      <c r="L26" s="9">
        <v>0.36299999999999999</v>
      </c>
      <c r="M26" s="9">
        <v>0.6089</v>
      </c>
      <c r="N26" s="9">
        <v>0.83730000000000004</v>
      </c>
      <c r="O26" s="9">
        <v>0.93230000000000002</v>
      </c>
      <c r="P26" s="9">
        <v>0.94940000000000002</v>
      </c>
      <c r="Q26" s="9">
        <v>0.95</v>
      </c>
      <c r="R26" s="9">
        <v>0.95</v>
      </c>
      <c r="S26" s="9">
        <v>0.95</v>
      </c>
      <c r="T26" s="9">
        <v>0.95</v>
      </c>
      <c r="U26" s="9">
        <v>0.95</v>
      </c>
      <c r="V26" s="9">
        <v>0.95</v>
      </c>
      <c r="W26" s="9">
        <v>0.95</v>
      </c>
      <c r="X26" s="9">
        <v>0.95</v>
      </c>
      <c r="Y26" s="9">
        <v>0.95</v>
      </c>
      <c r="Z26" s="9">
        <v>0.95</v>
      </c>
      <c r="AA26" s="9">
        <v>0.95</v>
      </c>
      <c r="AB26" s="9">
        <v>0.95</v>
      </c>
      <c r="AC26" s="9">
        <v>0.95</v>
      </c>
      <c r="AD26" s="9">
        <v>0.95</v>
      </c>
      <c r="AE26" s="9">
        <v>0.95</v>
      </c>
      <c r="AF26" s="9">
        <v>0.95</v>
      </c>
    </row>
    <row r="27" spans="1:32" x14ac:dyDescent="0.25">
      <c r="A27" s="7">
        <v>2005</v>
      </c>
      <c r="B27" s="8" t="s">
        <v>80</v>
      </c>
      <c r="C27" s="9">
        <v>5.0099999999999999E-2</v>
      </c>
      <c r="D27" s="9">
        <v>5.0199999999999988E-2</v>
      </c>
      <c r="E27" s="9">
        <v>5.0500000000000003E-2</v>
      </c>
      <c r="F27" s="9">
        <v>5.1299999999999998E-2</v>
      </c>
      <c r="G27" s="9">
        <v>5.3400000000000003E-2</v>
      </c>
      <c r="H27" s="9">
        <v>5.8999999999999997E-2</v>
      </c>
      <c r="I27" s="9">
        <v>6.8499999999999991E-2</v>
      </c>
      <c r="J27" s="9">
        <v>8.7799999999999989E-2</v>
      </c>
      <c r="K27" s="9">
        <v>0.13350000000000001</v>
      </c>
      <c r="L27" s="9">
        <v>0.22750000000000001</v>
      </c>
      <c r="M27" s="9">
        <v>0.41220000000000001</v>
      </c>
      <c r="N27" s="9">
        <v>0.67059999999999997</v>
      </c>
      <c r="O27" s="9">
        <v>0.86349999999999993</v>
      </c>
      <c r="P27" s="9">
        <v>0.9395</v>
      </c>
      <c r="Q27" s="9">
        <v>0.94950000000000001</v>
      </c>
      <c r="R27" s="9">
        <v>0.95</v>
      </c>
      <c r="S27" s="9">
        <v>0.95</v>
      </c>
      <c r="T27" s="9">
        <v>0.95</v>
      </c>
      <c r="U27" s="9">
        <v>0.95</v>
      </c>
      <c r="V27" s="9">
        <v>0.95</v>
      </c>
      <c r="W27" s="9">
        <v>0.95</v>
      </c>
      <c r="X27" s="9">
        <v>0.95</v>
      </c>
      <c r="Y27" s="9">
        <v>0.95</v>
      </c>
      <c r="Z27" s="9">
        <v>0.95</v>
      </c>
      <c r="AA27" s="9">
        <v>0.95</v>
      </c>
      <c r="AB27" s="9">
        <v>0.95</v>
      </c>
      <c r="AC27" s="9">
        <v>0.95</v>
      </c>
      <c r="AD27" s="9">
        <v>0.95</v>
      </c>
      <c r="AE27" s="9">
        <v>0.95</v>
      </c>
      <c r="AF27" s="9">
        <v>0.95</v>
      </c>
    </row>
    <row r="28" spans="1:32" x14ac:dyDescent="0.25">
      <c r="A28" s="7">
        <v>2013</v>
      </c>
      <c r="B28" s="8" t="s">
        <v>81</v>
      </c>
      <c r="C28" s="9">
        <v>0.05</v>
      </c>
      <c r="D28" s="9">
        <v>5.0099999999999999E-2</v>
      </c>
      <c r="E28" s="9">
        <v>5.0299999999999997E-2</v>
      </c>
      <c r="F28" s="9">
        <v>5.0700000000000002E-2</v>
      </c>
      <c r="G28" s="9">
        <v>5.1999999999999998E-2</v>
      </c>
      <c r="H28" s="9">
        <v>5.5199999999999999E-2</v>
      </c>
      <c r="I28" s="9">
        <v>6.0599999999999987E-2</v>
      </c>
      <c r="J28" s="9">
        <v>7.1800000000000003E-2</v>
      </c>
      <c r="K28" s="9">
        <v>9.8699999999999996E-2</v>
      </c>
      <c r="L28" s="9">
        <v>0.1565</v>
      </c>
      <c r="M28" s="9">
        <v>0.28149999999999997</v>
      </c>
      <c r="N28" s="9">
        <v>0.49680000000000002</v>
      </c>
      <c r="O28" s="9">
        <v>0.73</v>
      </c>
      <c r="P28" s="9">
        <v>0.89170000000000005</v>
      </c>
      <c r="Q28" s="9">
        <v>0.9405</v>
      </c>
      <c r="R28" s="9">
        <v>0.94950000000000001</v>
      </c>
      <c r="S28" s="9">
        <v>0.95</v>
      </c>
      <c r="T28" s="9">
        <v>0.95</v>
      </c>
      <c r="U28" s="9">
        <v>0.95</v>
      </c>
      <c r="V28" s="9">
        <v>0.95</v>
      </c>
      <c r="W28" s="9">
        <v>0.95</v>
      </c>
      <c r="X28" s="9">
        <v>0.95</v>
      </c>
      <c r="Y28" s="9">
        <v>0.95</v>
      </c>
      <c r="Z28" s="9">
        <v>0.95</v>
      </c>
      <c r="AA28" s="9">
        <v>0.95</v>
      </c>
      <c r="AB28" s="9">
        <v>0.95</v>
      </c>
      <c r="AC28" s="9">
        <v>0.95</v>
      </c>
      <c r="AD28" s="9">
        <v>0.95</v>
      </c>
      <c r="AE28" s="9">
        <v>0.95</v>
      </c>
      <c r="AF28" s="9">
        <v>0.95</v>
      </c>
    </row>
    <row r="29" spans="1:32" x14ac:dyDescent="0.25">
      <c r="A29" s="7">
        <v>2072</v>
      </c>
      <c r="B29" s="8" t="s">
        <v>82</v>
      </c>
      <c r="C29" s="9">
        <v>0.05</v>
      </c>
      <c r="D29" s="9">
        <v>5.0099999999999999E-2</v>
      </c>
      <c r="E29" s="9">
        <v>5.0199999999999988E-2</v>
      </c>
      <c r="F29" s="9">
        <v>5.0500000000000003E-2</v>
      </c>
      <c r="G29" s="9">
        <v>5.1299999999999998E-2</v>
      </c>
      <c r="H29" s="9">
        <v>5.3400000000000003E-2</v>
      </c>
      <c r="I29" s="9">
        <v>5.7099999999999998E-2</v>
      </c>
      <c r="J29" s="9">
        <v>6.4500000000000002E-2</v>
      </c>
      <c r="K29" s="9">
        <v>8.2599999999999993E-2</v>
      </c>
      <c r="L29" s="9">
        <v>0.12230000000000001</v>
      </c>
      <c r="M29" s="9">
        <v>0.21190000000000001</v>
      </c>
      <c r="N29" s="9">
        <v>0.38300000000000001</v>
      </c>
      <c r="O29" s="9">
        <v>0.60680000000000001</v>
      </c>
      <c r="P29" s="9">
        <v>0.81569999999999998</v>
      </c>
      <c r="Q29" s="9">
        <v>0.9113</v>
      </c>
      <c r="R29" s="9">
        <v>0.94459999999999988</v>
      </c>
      <c r="S29" s="9">
        <v>0.94969999999999999</v>
      </c>
      <c r="T29" s="9">
        <v>0.95</v>
      </c>
      <c r="U29" s="9">
        <v>0.95</v>
      </c>
      <c r="V29" s="9">
        <v>0.95</v>
      </c>
      <c r="W29" s="9">
        <v>0.95</v>
      </c>
      <c r="X29" s="9">
        <v>0.95</v>
      </c>
      <c r="Y29" s="9">
        <v>0.95</v>
      </c>
      <c r="Z29" s="9">
        <v>0.95</v>
      </c>
      <c r="AA29" s="9">
        <v>0.95</v>
      </c>
      <c r="AB29" s="9">
        <v>0.95</v>
      </c>
      <c r="AC29" s="9">
        <v>0.95</v>
      </c>
      <c r="AD29" s="9">
        <v>0.95</v>
      </c>
      <c r="AE29" s="9">
        <v>0.95</v>
      </c>
      <c r="AF29" s="9">
        <v>0.95</v>
      </c>
    </row>
    <row r="30" spans="1:32" x14ac:dyDescent="0.25">
      <c r="A30" s="7">
        <v>2433</v>
      </c>
      <c r="B30" s="8" t="s">
        <v>83</v>
      </c>
      <c r="C30" s="9">
        <v>0.05</v>
      </c>
      <c r="D30" s="9">
        <v>5.0099999999999999E-2</v>
      </c>
      <c r="E30" s="9">
        <v>5.0099999999999999E-2</v>
      </c>
      <c r="F30" s="9">
        <v>5.0299999999999997E-2</v>
      </c>
      <c r="G30" s="9">
        <v>5.0900000000000001E-2</v>
      </c>
      <c r="H30" s="9">
        <v>5.2200000000000003E-2</v>
      </c>
      <c r="I30" s="9">
        <v>5.4600000000000003E-2</v>
      </c>
      <c r="J30" s="9">
        <v>5.9499999999999997E-2</v>
      </c>
      <c r="K30" s="9">
        <v>7.1599999999999997E-2</v>
      </c>
      <c r="L30" s="9">
        <v>9.820000000000001E-2</v>
      </c>
      <c r="M30" s="9">
        <v>0.16039999999999999</v>
      </c>
      <c r="N30" s="9">
        <v>0.28820000000000001</v>
      </c>
      <c r="O30" s="9">
        <v>0.48089999999999999</v>
      </c>
      <c r="P30" s="9">
        <v>0.70900000000000007</v>
      </c>
      <c r="Q30" s="9">
        <v>0.85159999999999991</v>
      </c>
      <c r="R30" s="9">
        <v>0.92530000000000001</v>
      </c>
      <c r="S30" s="9">
        <v>0.94680000000000009</v>
      </c>
      <c r="T30" s="9">
        <v>0.94989999999999997</v>
      </c>
      <c r="U30" s="9">
        <v>0.95</v>
      </c>
      <c r="V30" s="9">
        <v>0.95</v>
      </c>
      <c r="W30" s="9">
        <v>0.95</v>
      </c>
      <c r="X30" s="9">
        <v>0.95</v>
      </c>
      <c r="Y30" s="9">
        <v>0.95</v>
      </c>
      <c r="Z30" s="9">
        <v>0.95</v>
      </c>
      <c r="AA30" s="9">
        <v>0.95</v>
      </c>
      <c r="AB30" s="9">
        <v>0.95</v>
      </c>
      <c r="AC30" s="9">
        <v>0.95</v>
      </c>
      <c r="AD30" s="9">
        <v>0.95</v>
      </c>
      <c r="AE30" s="9">
        <v>0.95</v>
      </c>
      <c r="AF30" s="9">
        <v>0.95</v>
      </c>
    </row>
    <row r="31" spans="1:32" x14ac:dyDescent="0.25">
      <c r="A31" s="7">
        <v>2137</v>
      </c>
      <c r="B31" s="8" t="s">
        <v>84</v>
      </c>
      <c r="C31" s="9">
        <v>0.05</v>
      </c>
      <c r="D31" s="9">
        <v>0.05</v>
      </c>
      <c r="E31" s="9">
        <v>5.0099999999999999E-2</v>
      </c>
      <c r="F31" s="9">
        <v>5.0199999999999988E-2</v>
      </c>
      <c r="G31" s="9">
        <v>5.0599999999999999E-2</v>
      </c>
      <c r="H31" s="9">
        <v>5.1700000000000003E-2</v>
      </c>
      <c r="I31" s="9">
        <v>5.3400000000000003E-2</v>
      </c>
      <c r="J31" s="9">
        <v>5.7000000000000002E-2</v>
      </c>
      <c r="K31" s="9">
        <v>6.59E-2</v>
      </c>
      <c r="L31" s="9">
        <v>8.5800000000000001E-2</v>
      </c>
      <c r="M31" s="9">
        <v>0.1328</v>
      </c>
      <c r="N31" s="9">
        <v>0.2331</v>
      </c>
      <c r="O31" s="9">
        <v>0.39610000000000001</v>
      </c>
      <c r="P31" s="9">
        <v>0.61729999999999996</v>
      </c>
      <c r="Q31" s="9">
        <v>0.78549999999999998</v>
      </c>
      <c r="R31" s="9">
        <v>0.89500000000000002</v>
      </c>
      <c r="S31" s="9">
        <v>0.93879999999999997</v>
      </c>
      <c r="T31" s="9">
        <v>0.94909999999999994</v>
      </c>
      <c r="U31" s="9">
        <v>0.95</v>
      </c>
      <c r="V31" s="9">
        <v>0.95</v>
      </c>
      <c r="W31" s="9">
        <v>0.95</v>
      </c>
      <c r="X31" s="9">
        <v>0.95</v>
      </c>
      <c r="Y31" s="9">
        <v>0.95</v>
      </c>
      <c r="Z31" s="9">
        <v>0.95</v>
      </c>
      <c r="AA31" s="9">
        <v>0.95</v>
      </c>
      <c r="AB31" s="9">
        <v>0.95</v>
      </c>
      <c r="AC31" s="9">
        <v>0.95</v>
      </c>
      <c r="AD31" s="9">
        <v>0.95</v>
      </c>
      <c r="AE31" s="9">
        <v>0.95</v>
      </c>
      <c r="AF31" s="9">
        <v>0.95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4"/>
  <sheetViews>
    <sheetView showGridLines="0" zoomScale="160" zoomScaleNormal="160" workbookViewId="0">
      <selection activeCell="F5" sqref="F5"/>
    </sheetView>
  </sheetViews>
  <sheetFormatPr defaultRowHeight="15" x14ac:dyDescent="0.25"/>
  <cols>
    <col min="1" max="1" width="10" customWidth="1"/>
    <col min="2" max="2" width="8" customWidth="1"/>
    <col min="3" max="5" width="12" customWidth="1"/>
    <col min="6" max="6" width="13" customWidth="1"/>
    <col min="7" max="10" width="12" customWidth="1"/>
    <col min="11" max="14" width="14" customWidth="1"/>
  </cols>
  <sheetData>
    <row r="1" spans="1:14" x14ac:dyDescent="0.25">
      <c r="A1" s="32" t="s">
        <v>85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</row>
    <row r="3" spans="1:14" x14ac:dyDescent="0.25">
      <c r="A3" s="27" t="s">
        <v>86</v>
      </c>
      <c r="B3" s="28"/>
      <c r="C3" s="28"/>
      <c r="D3" s="27" t="s">
        <v>87</v>
      </c>
      <c r="E3" s="28"/>
      <c r="F3" s="28"/>
      <c r="G3" s="28"/>
      <c r="H3" s="28"/>
      <c r="I3" s="28"/>
      <c r="J3" s="28"/>
      <c r="K3" s="28"/>
      <c r="L3" s="28"/>
      <c r="M3" s="28"/>
      <c r="N3" s="28"/>
    </row>
    <row r="4" spans="1:14" ht="75" x14ac:dyDescent="0.25">
      <c r="A4" t="s">
        <v>88</v>
      </c>
      <c r="B4" s="10">
        <v>1</v>
      </c>
      <c r="D4" s="1" t="s">
        <v>89</v>
      </c>
      <c r="E4" s="11">
        <f>M21</f>
        <v>14.128621999999998</v>
      </c>
    </row>
    <row r="5" spans="1:14" ht="60" x14ac:dyDescent="0.25">
      <c r="A5" t="s">
        <v>90</v>
      </c>
      <c r="B5" s="12">
        <v>31</v>
      </c>
      <c r="D5" s="1" t="s">
        <v>91</v>
      </c>
      <c r="E5" s="13">
        <f>ROUNDUP($E$4,0)</f>
        <v>15</v>
      </c>
    </row>
    <row r="6" spans="1:14" x14ac:dyDescent="0.25">
      <c r="A6" s="31" t="s">
        <v>92</v>
      </c>
      <c r="B6" s="28"/>
      <c r="C6" s="28"/>
    </row>
    <row r="7" spans="1:14" ht="30" x14ac:dyDescent="0.25">
      <c r="A7" t="s">
        <v>93</v>
      </c>
      <c r="B7" s="14" t="str">
        <f>IF(OR($B$4-1&lt;0.5,$B$4-1&gt;15),"",$B$4-1)</f>
        <v/>
      </c>
      <c r="D7" s="1" t="s">
        <v>94</v>
      </c>
      <c r="E7" s="15">
        <f>IF($B$7="",-1,IF(K24=0,IF(K21&gt;=$E$5,1,0),1-_xludf.NORM.DIST($E$5-0.5,K21,K24,TRUE)))</f>
        <v>-1</v>
      </c>
    </row>
    <row r="8" spans="1:14" ht="45" x14ac:dyDescent="0.25">
      <c r="A8" t="s">
        <v>95</v>
      </c>
      <c r="B8" s="14">
        <f>IF(OR($B$4-0.5&lt;0.5,$B$4-0.5&gt;15),"",$B$4-0.5)</f>
        <v>0.5</v>
      </c>
      <c r="D8" s="1" t="s">
        <v>96</v>
      </c>
      <c r="E8" s="15">
        <f>IF($B$8="",-1,IF(L24=0,IF(L21&gt;=$E$5,1,0),1-_xlfn.NORM.DIST($E$5-0.5,L21,L24,TRUE)))</f>
        <v>1.5030182482289933E-2</v>
      </c>
    </row>
    <row r="9" spans="1:14" ht="30" x14ac:dyDescent="0.25">
      <c r="A9" t="s">
        <v>97</v>
      </c>
      <c r="B9" s="14">
        <f>$B$4</f>
        <v>1</v>
      </c>
      <c r="D9" s="1" t="s">
        <v>98</v>
      </c>
      <c r="E9" s="15">
        <f>IF($B$9="",-1,IF(M24=0,IF(M21&gt;=$E$5,1,0),1-_xlfn.NORM.DIST($E$5-0.5,M21,M24,TRUE)))</f>
        <v>0.44353548223433004</v>
      </c>
    </row>
    <row r="10" spans="1:14" ht="45" x14ac:dyDescent="0.25">
      <c r="A10" t="s">
        <v>99</v>
      </c>
      <c r="B10" s="14">
        <f>IF(OR($B$4+0.5&lt;0.5,$B$4+0.5&gt;15),"",$B$4+0.5)</f>
        <v>1.5</v>
      </c>
      <c r="D10" s="1" t="s">
        <v>100</v>
      </c>
      <c r="E10" s="15">
        <f>IF($B$10="",-1,IF(N24=0,IF(N21&gt;=$E$5,1,0),1-_xlfn.NORM.DIST($E$5-0.5,N21,N24,TRUE)))</f>
        <v>0.96383445487979003</v>
      </c>
    </row>
    <row r="11" spans="1:14" x14ac:dyDescent="0.25">
      <c r="E11" s="16" t="s">
        <v>101</v>
      </c>
      <c r="F11" s="16" t="s">
        <v>102</v>
      </c>
      <c r="G11" s="16" t="s">
        <v>103</v>
      </c>
      <c r="H11" s="16" t="s">
        <v>104</v>
      </c>
    </row>
    <row r="12" spans="1:14" ht="30" x14ac:dyDescent="0.25">
      <c r="D12" s="17" t="s">
        <v>105</v>
      </c>
      <c r="E12" s="18" t="str">
        <f>IF($B$7="","",K21)</f>
        <v/>
      </c>
      <c r="F12" s="18">
        <f>IF($B$8="","",L21)</f>
        <v>9.1788519999999991</v>
      </c>
      <c r="G12" s="18">
        <f>IF($B$9="","",M21)</f>
        <v>14.128621999999998</v>
      </c>
      <c r="H12" s="18">
        <f>IF($B$10="","",N21)</f>
        <v>19.078050999999999</v>
      </c>
    </row>
    <row r="13" spans="1:14" x14ac:dyDescent="0.25">
      <c r="D13" s="17" t="s">
        <v>106</v>
      </c>
      <c r="E13" s="19" t="str">
        <f>IF($B$7="","",K21/$B$5)</f>
        <v/>
      </c>
      <c r="F13" s="19">
        <f>IF($B$8="","",L21/$B$5)</f>
        <v>0.29609199999999997</v>
      </c>
      <c r="G13" s="19">
        <f>IF($B$9="","",M21/$B$5)</f>
        <v>0.45576199999999994</v>
      </c>
      <c r="H13" s="19">
        <f>IF($B$10="","",N21/$B$5)</f>
        <v>0.615421</v>
      </c>
    </row>
    <row r="14" spans="1:14" ht="30" x14ac:dyDescent="0.25">
      <c r="D14" s="17" t="s">
        <v>107</v>
      </c>
      <c r="E14" s="18" t="str">
        <f>IF($B$7="","",K24)</f>
        <v/>
      </c>
      <c r="F14" s="18">
        <f>IF($B$8="","",L24)</f>
        <v>2.4529399067241742</v>
      </c>
      <c r="G14" s="18">
        <f>IF($B$9="","",M24)</f>
        <v>2.6151272283389959</v>
      </c>
      <c r="H14" s="18">
        <f>IF($B$10="","",N24)</f>
        <v>2.5475672298292733</v>
      </c>
    </row>
    <row r="17" spans="1:14" ht="30" x14ac:dyDescent="0.25">
      <c r="A17" s="3" t="s">
        <v>108</v>
      </c>
      <c r="B17" s="3" t="s">
        <v>109</v>
      </c>
      <c r="C17" s="3" t="s">
        <v>110</v>
      </c>
      <c r="D17" s="3" t="s">
        <v>111</v>
      </c>
      <c r="E17" s="3" t="s">
        <v>112</v>
      </c>
      <c r="F17" s="3" t="s">
        <v>113</v>
      </c>
      <c r="G17" s="3" t="s">
        <v>114</v>
      </c>
      <c r="H17" s="3" t="s">
        <v>115</v>
      </c>
      <c r="I17" s="3" t="s">
        <v>116</v>
      </c>
      <c r="J17" s="3" t="s">
        <v>117</v>
      </c>
      <c r="K17" s="3" t="s">
        <v>118</v>
      </c>
      <c r="L17" s="3" t="s">
        <v>119</v>
      </c>
      <c r="M17" s="3" t="s">
        <v>120</v>
      </c>
      <c r="N17" s="3" t="s">
        <v>121</v>
      </c>
    </row>
    <row r="18" spans="1:14" x14ac:dyDescent="0.25">
      <c r="A18" s="8" t="s">
        <v>55</v>
      </c>
      <c r="B18" s="7">
        <f>INDEX(AccuracyTable!$A$2:$A$31, MATCH($A18, AccuracyTable!$B$2:$B$31, 0))</f>
        <v>15</v>
      </c>
      <c r="C18" s="20">
        <v>1</v>
      </c>
      <c r="D18" s="21">
        <f>B18*C18</f>
        <v>15</v>
      </c>
      <c r="E18" s="22">
        <f>D18/SUM($D$18:$D$20)</f>
        <v>0.15</v>
      </c>
      <c r="F18" s="21">
        <f>$B$5*E18</f>
        <v>4.6499999999999995</v>
      </c>
      <c r="G18" s="22" t="str">
        <f>IF($B$7="","",INDEX(AccuracyTable!$C$2:$AF$31, MATCH($A18, AccuracyTable!$B$2:$B$31, 0), MATCH($B$7, AccuracyTable!$C$1:$AF$1, 0)))</f>
        <v/>
      </c>
      <c r="H18" s="22">
        <f>IF($B$8="","",INDEX(AccuracyTable!$C$2:$AF$31, MATCH($A18, AccuracyTable!$B$2:$B$31, 0), MATCH($B$8, AccuracyTable!$C$1:$AF$1, 0)))</f>
        <v>0.48149999999999998</v>
      </c>
      <c r="I18" s="22">
        <f>IF($B$9="","",INDEX(AccuracyTable!$C$2:$AF$31, MATCH($A18, AccuracyTable!$B$2:$B$31, 0), MATCH($B$9, AccuracyTable!$C$1:$AF$1, 0)))</f>
        <v>0.71260000000000001</v>
      </c>
      <c r="J18" s="22">
        <f>IF($B$10="","",INDEX(AccuracyTable!$C$2:$AF$31, MATCH($A18, AccuracyTable!$B$2:$B$31, 0), MATCH($B$10, AccuracyTable!$C$1:$AF$1, 0)))</f>
        <v>0.87260000000000004</v>
      </c>
      <c r="K18" s="21" t="str">
        <f>IF($B$7="","",F18*G18)</f>
        <v/>
      </c>
      <c r="L18" s="21">
        <f>IF($B$8="","",F18*H18)</f>
        <v>2.2389749999999995</v>
      </c>
      <c r="M18" s="21">
        <f>IF($B$9="","",F18*I18)</f>
        <v>3.3135899999999996</v>
      </c>
      <c r="N18" s="21">
        <f>IF($B$10="","",F18*J18)</f>
        <v>4.0575899999999994</v>
      </c>
    </row>
    <row r="19" spans="1:14" x14ac:dyDescent="0.25">
      <c r="A19" s="8" t="s">
        <v>56</v>
      </c>
      <c r="B19" s="7">
        <f>INDEX(AccuracyTable!$A$2:$A$31, MATCH($A19, AccuracyTable!$B$2:$B$31, 0))</f>
        <v>69</v>
      </c>
      <c r="C19" s="20">
        <v>1</v>
      </c>
      <c r="D19" s="21">
        <f>B19*C19</f>
        <v>69</v>
      </c>
      <c r="E19" s="22">
        <f>D19/SUM($D$18:$D$20)</f>
        <v>0.69</v>
      </c>
      <c r="F19" s="21">
        <f>$B$5*E19</f>
        <v>21.389999999999997</v>
      </c>
      <c r="G19" s="22" t="str">
        <f>IF($B$7="","",INDEX(AccuracyTable!$C$2:$AF$31, MATCH($A19, AccuracyTable!$B$2:$B$31, 0), MATCH($B$7, AccuracyTable!$C$1:$AF$1, 0)))</f>
        <v/>
      </c>
      <c r="H19" s="22">
        <f>IF($B$8="","",INDEX(AccuracyTable!$C$2:$AF$31, MATCH($A19, AccuracyTable!$B$2:$B$31, 0), MATCH($B$8, AccuracyTable!$C$1:$AF$1, 0)))</f>
        <v>0.21590000000000001</v>
      </c>
      <c r="I19" s="22">
        <f>IF($B$9="","",INDEX(AccuracyTable!$C$2:$AF$31, MATCH($A19, AccuracyTable!$B$2:$B$31, 0), MATCH($B$9, AccuracyTable!$C$1:$AF$1, 0)))</f>
        <v>0.3448</v>
      </c>
      <c r="J19" s="22">
        <f>IF($B$10="","",INDEX(AccuracyTable!$C$2:$AF$31, MATCH($A19, AccuracyTable!$B$2:$B$31, 0), MATCH($B$10, AccuracyTable!$C$1:$AF$1, 0)))</f>
        <v>0.50470000000000004</v>
      </c>
      <c r="K19" s="21" t="str">
        <f>IF($B$7="","",F19*G19)</f>
        <v/>
      </c>
      <c r="L19" s="21">
        <f>IF($B$8="","",F19*H19)</f>
        <v>4.6181009999999993</v>
      </c>
      <c r="M19" s="21">
        <f>IF($B$9="","",F19*I19)</f>
        <v>7.3752719999999989</v>
      </c>
      <c r="N19" s="21">
        <f>IF($B$10="","",F19*J19)</f>
        <v>10.795532999999999</v>
      </c>
    </row>
    <row r="20" spans="1:14" x14ac:dyDescent="0.25">
      <c r="A20" s="8" t="s">
        <v>71</v>
      </c>
      <c r="B20" s="7">
        <f>INDEX(AccuracyTable!$A$2:$A$31, MATCH($A20, AccuracyTable!$B$2:$B$31, 0))</f>
        <v>16</v>
      </c>
      <c r="C20" s="20">
        <v>1</v>
      </c>
      <c r="D20" s="21">
        <f>B20*C20</f>
        <v>16</v>
      </c>
      <c r="E20" s="22">
        <f>D20/SUM($D$18:$D$20)</f>
        <v>0.16</v>
      </c>
      <c r="F20" s="21">
        <f>$B$5*E20</f>
        <v>4.96</v>
      </c>
      <c r="G20" s="22" t="str">
        <f>IF($B$7="","",INDEX(AccuracyTable!$C$2:$AF$31, MATCH($A20, AccuracyTable!$B$2:$B$31, 0), MATCH($B$7, AccuracyTable!$C$1:$AF$1, 0)))</f>
        <v/>
      </c>
      <c r="H20" s="22">
        <f>IF($B$8="","",INDEX(AccuracyTable!$C$2:$AF$31, MATCH($A20, AccuracyTable!$B$2:$B$31, 0), MATCH($B$8, AccuracyTable!$C$1:$AF$1, 0)))</f>
        <v>0.46810000000000002</v>
      </c>
      <c r="I20" s="22">
        <f>IF($B$9="","",INDEX(AccuracyTable!$C$2:$AF$31, MATCH($A20, AccuracyTable!$B$2:$B$31, 0), MATCH($B$9, AccuracyTable!$C$1:$AF$1, 0)))</f>
        <v>0.69349999999999989</v>
      </c>
      <c r="J20" s="22">
        <f>IF($B$10="","",INDEX(AccuracyTable!$C$2:$AF$31, MATCH($A20, AccuracyTable!$B$2:$B$31, 0), MATCH($B$10, AccuracyTable!$C$1:$AF$1, 0)))</f>
        <v>0.85180000000000011</v>
      </c>
      <c r="K20" s="21" t="str">
        <f>IF($B$7="","",F20*G20)</f>
        <v/>
      </c>
      <c r="L20" s="21">
        <f>IF($B$8="","",F20*H20)</f>
        <v>2.3217760000000003</v>
      </c>
      <c r="M20" s="21">
        <f>IF($B$9="","",F20*I20)</f>
        <v>3.4397599999999993</v>
      </c>
      <c r="N20" s="21">
        <f>IF($B$10="","",F20*J20)</f>
        <v>4.2249280000000002</v>
      </c>
    </row>
    <row r="21" spans="1:14" x14ac:dyDescent="0.25">
      <c r="A21" s="23" t="s">
        <v>122</v>
      </c>
      <c r="D21" s="24">
        <f>SUM($D$18:$D$20)</f>
        <v>100</v>
      </c>
      <c r="E21" s="25">
        <f>SUM($E$18:$E$20)</f>
        <v>1</v>
      </c>
      <c r="F21" s="24">
        <f>SUM($F$18:$F$20)</f>
        <v>30.999999999999996</v>
      </c>
      <c r="K21" s="24">
        <f>SUM($K$18:$K$20)</f>
        <v>0</v>
      </c>
      <c r="L21" s="24">
        <f>SUM($L$18:$L$20)</f>
        <v>9.1788519999999991</v>
      </c>
      <c r="M21" s="24">
        <f>SUM($M$18:$M$20)</f>
        <v>14.128621999999998</v>
      </c>
      <c r="N21" s="24">
        <f>SUM($N$18:$N$20)</f>
        <v>19.078050999999999</v>
      </c>
    </row>
    <row r="23" spans="1:14" ht="30" x14ac:dyDescent="0.25">
      <c r="A23" s="17" t="s">
        <v>123</v>
      </c>
      <c r="K23" s="21" t="str">
        <f>IF($B$7="","",SUMPRODUCT($F$18:$F$20,$G$18:$G$20,(1-$G$18:$G$20)))</f>
        <v/>
      </c>
      <c r="L23" s="21">
        <f>IF($B$8="","",SUMPRODUCT($F$18:$F$20,$H$18:$H$20,(1-$H$18:$H$20)))</f>
        <v>6.0169141859999993</v>
      </c>
      <c r="M23" s="21">
        <f>IF($B$9="","",SUMPRODUCT($F$18:$F$20,$I$18:$I$20,(1-$I$18:$I$20)))</f>
        <v>6.8388904203999994</v>
      </c>
      <c r="N23" s="21">
        <f>IF($B$10="","",SUMPRODUCT($F$18:$F$20,$J$18:$J$20,(1-$J$18:$J$20)))</f>
        <v>6.4900987904999976</v>
      </c>
    </row>
    <row r="24" spans="1:14" ht="30" x14ac:dyDescent="0.25">
      <c r="A24" s="17" t="s">
        <v>124</v>
      </c>
      <c r="K24" s="21" t="str">
        <f>IF($B$7="","",SQRT(K23))</f>
        <v/>
      </c>
      <c r="L24" s="21">
        <f>IF($B$8="","",SQRT(L23))</f>
        <v>2.4529399067241742</v>
      </c>
      <c r="M24" s="21">
        <f>IF($B$9="","",SQRT(M23))</f>
        <v>2.6151272283389959</v>
      </c>
      <c r="N24" s="21">
        <f>IF($B$10="","",SQRT(N23))</f>
        <v>2.5475672298292733</v>
      </c>
    </row>
  </sheetData>
  <mergeCells count="4">
    <mergeCell ref="A3:C3"/>
    <mergeCell ref="D3:N3"/>
    <mergeCell ref="A6:C6"/>
    <mergeCell ref="A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8"/>
  <sheetViews>
    <sheetView showGridLines="0" zoomScale="175" zoomScaleNormal="175" workbookViewId="0">
      <selection activeCell="A6" sqref="A6:C6"/>
    </sheetView>
  </sheetViews>
  <sheetFormatPr defaultRowHeight="15" x14ac:dyDescent="0.25"/>
  <cols>
    <col min="1" max="1" width="10" customWidth="1"/>
    <col min="2" max="2" width="8" customWidth="1"/>
    <col min="3" max="5" width="12" customWidth="1"/>
    <col min="6" max="6" width="13" customWidth="1"/>
    <col min="7" max="10" width="12" customWidth="1"/>
    <col min="11" max="14" width="14" customWidth="1"/>
  </cols>
  <sheetData>
    <row r="1" spans="1:14" x14ac:dyDescent="0.25">
      <c r="A1" s="32" t="s">
        <v>125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</row>
    <row r="3" spans="1:14" x14ac:dyDescent="0.25">
      <c r="A3" s="27" t="s">
        <v>86</v>
      </c>
      <c r="B3" s="28"/>
      <c r="C3" s="28"/>
      <c r="D3" s="27" t="s">
        <v>87</v>
      </c>
      <c r="E3" s="28"/>
      <c r="F3" s="28"/>
      <c r="G3" s="28"/>
      <c r="H3" s="28"/>
      <c r="I3" s="28"/>
      <c r="J3" s="28"/>
      <c r="K3" s="28"/>
      <c r="L3" s="28"/>
      <c r="M3" s="28"/>
      <c r="N3" s="28"/>
    </row>
    <row r="4" spans="1:14" ht="75" x14ac:dyDescent="0.25">
      <c r="A4" t="s">
        <v>88</v>
      </c>
      <c r="B4" s="10">
        <v>2</v>
      </c>
      <c r="D4" s="1" t="s">
        <v>89</v>
      </c>
      <c r="E4" s="11">
        <f>M25</f>
        <v>39.409155273141117</v>
      </c>
      <c r="F4" s="11">
        <f>$M$25</f>
        <v>39.409155273141117</v>
      </c>
    </row>
    <row r="5" spans="1:14" ht="60" x14ac:dyDescent="0.25">
      <c r="A5" t="s">
        <v>90</v>
      </c>
      <c r="B5" s="12">
        <v>91</v>
      </c>
      <c r="D5" s="1" t="s">
        <v>91</v>
      </c>
      <c r="E5" s="13">
        <f>ROUNDUP($E$4,0)</f>
        <v>40</v>
      </c>
    </row>
    <row r="6" spans="1:14" x14ac:dyDescent="0.25">
      <c r="A6" s="31" t="s">
        <v>92</v>
      </c>
      <c r="B6" s="28"/>
      <c r="C6" s="28"/>
    </row>
    <row r="7" spans="1:14" ht="30" x14ac:dyDescent="0.25">
      <c r="A7" t="s">
        <v>93</v>
      </c>
      <c r="B7" s="14">
        <f>IF(OR($B$4-1&lt;0.5,$B$4-1&gt;15),"",$B$4-1)</f>
        <v>1</v>
      </c>
      <c r="D7" s="1" t="s">
        <v>94</v>
      </c>
      <c r="E7" s="15">
        <f>IF($B$7="",-1,IF(K28=0,IF(K25&gt;=$E$5,1,0),1-_xlfn.NORM.DIST($E$5-0.5,K25,K28,TRUE)))</f>
        <v>3.054429820181781E-9</v>
      </c>
    </row>
    <row r="8" spans="1:14" ht="45" x14ac:dyDescent="0.25">
      <c r="A8" t="s">
        <v>95</v>
      </c>
      <c r="B8" s="14">
        <f>IF(OR($B$4-0.5&lt;0.5,$B$4-0.5&gt;15),"",$B$4-0.5)</f>
        <v>1.5</v>
      </c>
      <c r="D8" s="1" t="s">
        <v>96</v>
      </c>
      <c r="E8" s="15">
        <f>IF($B$8="",-1,IF(L28=0,IF(L25&gt;=$E$5,1,0),1-_xlfn.NORM.DIST($E$5-0.5,L25,L28,TRUE)))</f>
        <v>1.6165736385410634E-3</v>
      </c>
    </row>
    <row r="9" spans="1:14" ht="30" x14ac:dyDescent="0.25">
      <c r="A9" t="s">
        <v>97</v>
      </c>
      <c r="B9" s="14">
        <f>$B$4</f>
        <v>2</v>
      </c>
      <c r="D9" s="1" t="s">
        <v>98</v>
      </c>
      <c r="E9" s="15">
        <f>IF($B$9="",-1,IF(M28=0,IF(M25&gt;=$E$5,1,0),1-_xlfn.NORM.DIST($E$5-0.5,M25,M28,TRUE)))</f>
        <v>0.49162051807272056</v>
      </c>
    </row>
    <row r="10" spans="1:14" ht="45" x14ac:dyDescent="0.25">
      <c r="A10" t="s">
        <v>99</v>
      </c>
      <c r="B10" s="14">
        <f>IF(OR($B$4+0.5&lt;0.5,$B$4+0.5&gt;15),"",$B$4+0.5)</f>
        <v>2.5</v>
      </c>
      <c r="D10" s="1" t="s">
        <v>100</v>
      </c>
      <c r="E10" s="15">
        <f>IF($B$10="",-1,IF(N28=0,IF(N25&gt;=$E$5,1,0),1-_xlfn.NORM.DIST($E$5-0.5,N25,N28,TRUE)))</f>
        <v>0.99981400865951398</v>
      </c>
    </row>
    <row r="11" spans="1:14" x14ac:dyDescent="0.25">
      <c r="E11" s="16" t="s">
        <v>101</v>
      </c>
      <c r="F11" s="16" t="s">
        <v>102</v>
      </c>
      <c r="G11" s="16" t="s">
        <v>103</v>
      </c>
      <c r="H11" s="16" t="s">
        <v>104</v>
      </c>
    </row>
    <row r="12" spans="1:14" ht="30" x14ac:dyDescent="0.25">
      <c r="D12" s="17" t="s">
        <v>105</v>
      </c>
      <c r="E12" s="18">
        <f>IF($B$7="","",K25)</f>
        <v>18.716442261001514</v>
      </c>
      <c r="F12" s="18">
        <f>IF($B$8="","",L25)</f>
        <v>27.687174620637322</v>
      </c>
      <c r="G12" s="18">
        <f>IF($B$9="","",M25)</f>
        <v>39.409155273141117</v>
      </c>
      <c r="H12" s="18">
        <f>IF($B$10="","",N25)</f>
        <v>54.809234408194229</v>
      </c>
    </row>
    <row r="13" spans="1:14" x14ac:dyDescent="0.25">
      <c r="D13" s="17" t="s">
        <v>106</v>
      </c>
      <c r="E13" s="19">
        <f>IF($B$7="","",K25/$B$5)</f>
        <v>0.20567518968133533</v>
      </c>
      <c r="F13" s="19">
        <f>IF($B$8="","",L25/$B$5)</f>
        <v>0.30425466616084967</v>
      </c>
      <c r="G13" s="19">
        <f>IF($B$9="","",M25/$B$5)</f>
        <v>0.4330676403641881</v>
      </c>
      <c r="H13" s="19">
        <f>IF($B$10="","",N25/$B$5)</f>
        <v>0.60229927921092563</v>
      </c>
    </row>
    <row r="14" spans="1:14" ht="30" x14ac:dyDescent="0.25">
      <c r="D14" s="17" t="s">
        <v>107</v>
      </c>
      <c r="E14" s="18">
        <f>IF($B$7="","",K28)</f>
        <v>3.5748970001440386</v>
      </c>
      <c r="F14" s="18">
        <f>IF($B$8="","",L28)</f>
        <v>4.0116157925812823</v>
      </c>
      <c r="G14" s="18">
        <f>IF($B$9="","",M28)</f>
        <v>4.3247467736788199</v>
      </c>
      <c r="H14" s="18">
        <f>IF($B$10="","",N28)</f>
        <v>4.3013103443356737</v>
      </c>
    </row>
    <row r="17" spans="1:14" ht="30" x14ac:dyDescent="0.25">
      <c r="A17" s="3" t="s">
        <v>108</v>
      </c>
      <c r="B17" s="3" t="s">
        <v>109</v>
      </c>
      <c r="C17" s="3" t="s">
        <v>110</v>
      </c>
      <c r="D17" s="3" t="s">
        <v>111</v>
      </c>
      <c r="E17" s="3" t="s">
        <v>112</v>
      </c>
      <c r="F17" s="3" t="s">
        <v>113</v>
      </c>
      <c r="G17" s="3" t="s">
        <v>114</v>
      </c>
      <c r="H17" s="3" t="s">
        <v>115</v>
      </c>
      <c r="I17" s="3" t="s">
        <v>116</v>
      </c>
      <c r="J17" s="3" t="s">
        <v>117</v>
      </c>
      <c r="K17" s="3" t="s">
        <v>118</v>
      </c>
      <c r="L17" s="3" t="s">
        <v>119</v>
      </c>
      <c r="M17" s="3" t="s">
        <v>120</v>
      </c>
      <c r="N17" s="3" t="s">
        <v>121</v>
      </c>
    </row>
    <row r="18" spans="1:14" x14ac:dyDescent="0.25">
      <c r="A18" s="8" t="s">
        <v>55</v>
      </c>
      <c r="B18" s="7">
        <f>INDEX(AccuracyTable!$A$2:$A$31, MATCH($A18, AccuracyTable!$B$2:$B$31, 0))</f>
        <v>15</v>
      </c>
      <c r="C18" s="20">
        <v>1</v>
      </c>
      <c r="D18" s="21">
        <f t="shared" ref="D18:D24" si="0">B18*C18</f>
        <v>15</v>
      </c>
      <c r="E18" s="22">
        <f t="shared" ref="E18:E24" si="1">D18/SUM($D$18:$D$24)</f>
        <v>2.8452200303490133E-2</v>
      </c>
      <c r="F18" s="21">
        <f t="shared" ref="F18:F24" si="2">$B$5*E18</f>
        <v>2.5891502276176022</v>
      </c>
      <c r="G18" s="22">
        <f>IF($B$7="","",INDEX(AccuracyTable!$C$2:$AF$31, MATCH($A18, AccuracyTable!$B$2:$B$31, 0), MATCH($B$7, AccuracyTable!$C$1:$AF$1, 0)))</f>
        <v>0.71260000000000001</v>
      </c>
      <c r="H18" s="22">
        <f>IF($B$8="","",INDEX(AccuracyTable!$C$2:$AF$31, MATCH($A18, AccuracyTable!$B$2:$B$31, 0), MATCH($B$8, AccuracyTable!$C$1:$AF$1, 0)))</f>
        <v>0.87260000000000004</v>
      </c>
      <c r="I18" s="22">
        <f>IF($B$9="","",INDEX(AccuracyTable!$C$2:$AF$31, MATCH($A18, AccuracyTable!$B$2:$B$31, 0), MATCH($B$9, AccuracyTable!$C$1:$AF$1, 0)))</f>
        <v>0.93940000000000001</v>
      </c>
      <c r="J18" s="22">
        <f>IF($B$10="","",INDEX(AccuracyTable!$C$2:$AF$31, MATCH($A18, AccuracyTable!$B$2:$B$31, 0), MATCH($B$10, AccuracyTable!$C$1:$AF$1, 0)))</f>
        <v>0.94980000000000009</v>
      </c>
      <c r="K18" s="21">
        <f t="shared" ref="K18:K24" si="3">IF($B$7="","",F18*G18)</f>
        <v>1.8450284522003033</v>
      </c>
      <c r="L18" s="21">
        <f t="shared" ref="L18:L24" si="4">IF($B$8="","",F18*H18)</f>
        <v>2.2592924886191197</v>
      </c>
      <c r="M18" s="21">
        <f t="shared" ref="M18:M24" si="5">IF($B$9="","",F18*I18)</f>
        <v>2.4322477238239757</v>
      </c>
      <c r="N18" s="21">
        <f t="shared" ref="N18:N24" si="6">IF($B$10="","",F18*J18)</f>
        <v>2.4591748861911986</v>
      </c>
    </row>
    <row r="19" spans="1:14" x14ac:dyDescent="0.25">
      <c r="A19" s="8" t="s">
        <v>56</v>
      </c>
      <c r="B19" s="7">
        <f>INDEX(AccuracyTable!$A$2:$A$31, MATCH($A19, AccuracyTable!$B$2:$B$31, 0))</f>
        <v>69</v>
      </c>
      <c r="C19" s="20">
        <v>1.4</v>
      </c>
      <c r="D19" s="21">
        <f t="shared" si="0"/>
        <v>96.6</v>
      </c>
      <c r="E19" s="22">
        <f t="shared" si="1"/>
        <v>0.18323216995447644</v>
      </c>
      <c r="F19" s="21">
        <f t="shared" si="2"/>
        <v>16.674127465857357</v>
      </c>
      <c r="G19" s="22">
        <f>IF($B$7="","",INDEX(AccuracyTable!$C$2:$AF$31, MATCH($A19, AccuracyTable!$B$2:$B$31, 0), MATCH($B$7, AccuracyTable!$C$1:$AF$1, 0)))</f>
        <v>0.3448</v>
      </c>
      <c r="H19" s="22">
        <f>IF($B$8="","",INDEX(AccuracyTable!$C$2:$AF$31, MATCH($A19, AccuracyTable!$B$2:$B$31, 0), MATCH($B$8, AccuracyTable!$C$1:$AF$1, 0)))</f>
        <v>0.50470000000000004</v>
      </c>
      <c r="I19" s="22">
        <f>IF($B$9="","",INDEX(AccuracyTable!$C$2:$AF$31, MATCH($A19, AccuracyTable!$B$2:$B$31, 0), MATCH($B$9, AccuracyTable!$C$1:$AF$1, 0)))</f>
        <v>0.68510000000000004</v>
      </c>
      <c r="J19" s="22">
        <f>IF($B$10="","",INDEX(AccuracyTable!$C$2:$AF$31, MATCH($A19, AccuracyTable!$B$2:$B$31, 0), MATCH($B$10, AccuracyTable!$C$1:$AF$1, 0)))</f>
        <v>0.8599</v>
      </c>
      <c r="K19" s="21">
        <f t="shared" si="3"/>
        <v>5.7492391502276163</v>
      </c>
      <c r="L19" s="21">
        <f t="shared" si="4"/>
        <v>8.4154321320182088</v>
      </c>
      <c r="M19" s="21">
        <f t="shared" si="5"/>
        <v>11.423444726858875</v>
      </c>
      <c r="N19" s="21">
        <f t="shared" si="6"/>
        <v>14.338082207890741</v>
      </c>
    </row>
    <row r="20" spans="1:14" x14ac:dyDescent="0.25">
      <c r="A20" s="8" t="s">
        <v>57</v>
      </c>
      <c r="B20" s="7">
        <f>INDEX(AccuracyTable!$A$2:$A$31, MATCH($A20, AccuracyTable!$B$2:$B$31, 0))</f>
        <v>196</v>
      </c>
      <c r="C20" s="20">
        <v>1.3</v>
      </c>
      <c r="D20" s="21">
        <f t="shared" si="0"/>
        <v>254.8</v>
      </c>
      <c r="E20" s="22">
        <f t="shared" si="1"/>
        <v>0.48330804248861908</v>
      </c>
      <c r="F20" s="21">
        <f t="shared" si="2"/>
        <v>43.981031866464335</v>
      </c>
      <c r="G20" s="22">
        <f>IF($B$7="","",INDEX(AccuracyTable!$C$2:$AF$31, MATCH($A20, AccuracyTable!$B$2:$B$31, 0), MATCH($B$7, AccuracyTable!$C$1:$AF$1, 0)))</f>
        <v>0.15870000000000001</v>
      </c>
      <c r="H20" s="22">
        <f>IF($B$8="","",INDEX(AccuracyTable!$C$2:$AF$31, MATCH($A20, AccuracyTable!$B$2:$B$31, 0), MATCH($B$8, AccuracyTable!$C$1:$AF$1, 0)))</f>
        <v>0.25600000000000001</v>
      </c>
      <c r="I20" s="22">
        <f>IF($B$9="","",INDEX(AccuracyTable!$C$2:$AF$31, MATCH($A20, AccuracyTable!$B$2:$B$31, 0), MATCH($B$9, AccuracyTable!$C$1:$AF$1, 0)))</f>
        <v>0.39489999999999997</v>
      </c>
      <c r="J20" s="22">
        <f>IF($B$10="","",INDEX(AccuracyTable!$C$2:$AF$31, MATCH($A20, AccuracyTable!$B$2:$B$31, 0), MATCH($B$10, AccuracyTable!$C$1:$AF$1, 0)))</f>
        <v>0.58560000000000001</v>
      </c>
      <c r="K20" s="21">
        <f t="shared" si="3"/>
        <v>6.9797897572078904</v>
      </c>
      <c r="L20" s="21">
        <f t="shared" si="4"/>
        <v>11.25914415781487</v>
      </c>
      <c r="M20" s="21">
        <f t="shared" si="5"/>
        <v>17.368109484066764</v>
      </c>
      <c r="N20" s="21">
        <f t="shared" si="6"/>
        <v>25.755292261001514</v>
      </c>
    </row>
    <row r="21" spans="1:14" x14ac:dyDescent="0.25">
      <c r="A21" s="8" t="s">
        <v>58</v>
      </c>
      <c r="B21" s="7">
        <f>INDEX(AccuracyTable!$A$2:$A$31, MATCH($A21, AccuracyTable!$B$2:$B$31, 0))</f>
        <v>534</v>
      </c>
      <c r="C21" s="20">
        <v>0.2</v>
      </c>
      <c r="D21" s="21">
        <f t="shared" si="0"/>
        <v>106.80000000000001</v>
      </c>
      <c r="E21" s="22">
        <f t="shared" si="1"/>
        <v>0.20257966616084977</v>
      </c>
      <c r="F21" s="21">
        <f t="shared" si="2"/>
        <v>18.43474962063733</v>
      </c>
      <c r="G21" s="22">
        <f>IF($B$7="","",INDEX(AccuracyTable!$C$2:$AF$31, MATCH($A21, AccuracyTable!$B$2:$B$31, 0), MATCH($B$7, AccuracyTable!$C$1:$AF$1, 0)))</f>
        <v>8.4399999999999989E-2</v>
      </c>
      <c r="H21" s="22">
        <f>IF($B$8="","",INDEX(AccuracyTable!$C$2:$AF$31, MATCH($A21, AccuracyTable!$B$2:$B$31, 0), MATCH($B$8, AccuracyTable!$C$1:$AF$1, 0)))</f>
        <v>0.12429999999999999</v>
      </c>
      <c r="I21" s="22">
        <f>IF($B$9="","",INDEX(AccuracyTable!$C$2:$AF$31, MATCH($A21, AccuracyTable!$B$2:$B$31, 0), MATCH($B$9, AccuracyTable!$C$1:$AF$1, 0)))</f>
        <v>0.1981</v>
      </c>
      <c r="J21" s="22">
        <f>IF($B$10="","",INDEX(AccuracyTable!$C$2:$AF$31, MATCH($A21, AccuracyTable!$B$2:$B$31, 0), MATCH($B$10, AccuracyTable!$C$1:$AF$1, 0)))</f>
        <v>0.32869999999999999</v>
      </c>
      <c r="K21" s="21">
        <f t="shared" si="3"/>
        <v>1.5558928679817905</v>
      </c>
      <c r="L21" s="21">
        <f t="shared" si="4"/>
        <v>2.29143937784522</v>
      </c>
      <c r="M21" s="21">
        <f t="shared" si="5"/>
        <v>3.6519238998482551</v>
      </c>
      <c r="N21" s="21">
        <f t="shared" si="6"/>
        <v>6.0595022003034904</v>
      </c>
    </row>
    <row r="22" spans="1:14" x14ac:dyDescent="0.25">
      <c r="A22" s="8" t="s">
        <v>71</v>
      </c>
      <c r="B22" s="7">
        <f>INDEX(AccuracyTable!$A$2:$A$31, MATCH($A22, AccuracyTable!$B$2:$B$31, 0))</f>
        <v>16</v>
      </c>
      <c r="C22" s="20">
        <v>1</v>
      </c>
      <c r="D22" s="21">
        <f t="shared" si="0"/>
        <v>16</v>
      </c>
      <c r="E22" s="22">
        <f t="shared" si="1"/>
        <v>3.0349013657056143E-2</v>
      </c>
      <c r="F22" s="21">
        <f t="shared" si="2"/>
        <v>2.7617602427921089</v>
      </c>
      <c r="G22" s="22">
        <f>IF($B$7="","",INDEX(AccuracyTable!$C$2:$AF$31, MATCH($A22, AccuracyTable!$B$2:$B$31, 0), MATCH($B$7, AccuracyTable!$C$1:$AF$1, 0)))</f>
        <v>0.69349999999999989</v>
      </c>
      <c r="H22" s="22">
        <f>IF($B$8="","",INDEX(AccuracyTable!$C$2:$AF$31, MATCH($A22, AccuracyTable!$B$2:$B$31, 0), MATCH($B$8, AccuracyTable!$C$1:$AF$1, 0)))</f>
        <v>0.85180000000000011</v>
      </c>
      <c r="I22" s="22">
        <f>IF($B$9="","",INDEX(AccuracyTable!$C$2:$AF$31, MATCH($A22, AccuracyTable!$B$2:$B$31, 0), MATCH($B$9, AccuracyTable!$C$1:$AF$1, 0)))</f>
        <v>0.92209999999999992</v>
      </c>
      <c r="J22" s="22">
        <f>IF($B$10="","",INDEX(AccuracyTable!$C$2:$AF$31, MATCH($A22, AccuracyTable!$B$2:$B$31, 0), MATCH($B$10, AccuracyTable!$C$1:$AF$1, 0)))</f>
        <v>0.94599999999999995</v>
      </c>
      <c r="K22" s="21">
        <f t="shared" si="3"/>
        <v>1.9152807283763271</v>
      </c>
      <c r="L22" s="21">
        <f t="shared" si="4"/>
        <v>2.3524673748103186</v>
      </c>
      <c r="M22" s="21">
        <f t="shared" si="5"/>
        <v>2.5466191198786032</v>
      </c>
      <c r="N22" s="21">
        <f t="shared" si="6"/>
        <v>2.6126251896813351</v>
      </c>
    </row>
    <row r="23" spans="1:14" x14ac:dyDescent="0.25">
      <c r="A23" s="8" t="s">
        <v>72</v>
      </c>
      <c r="B23" s="7">
        <f>INDEX(AccuracyTable!$A$2:$A$31, MATCH($A23, AccuracyTable!$B$2:$B$31, 0))</f>
        <v>36</v>
      </c>
      <c r="C23" s="20">
        <v>0.5</v>
      </c>
      <c r="D23" s="21">
        <f t="shared" si="0"/>
        <v>18</v>
      </c>
      <c r="E23" s="22">
        <f t="shared" si="1"/>
        <v>3.4142640364188161E-2</v>
      </c>
      <c r="F23" s="21">
        <f t="shared" si="2"/>
        <v>3.1069802731411227</v>
      </c>
      <c r="G23" s="22">
        <f>IF($B$7="","",INDEX(AccuracyTable!$C$2:$AF$31, MATCH($A23, AccuracyTable!$B$2:$B$31, 0), MATCH($B$7, AccuracyTable!$C$1:$AF$1, 0)))</f>
        <v>0.12670000000000001</v>
      </c>
      <c r="H23" s="22">
        <f>IF($B$8="","",INDEX(AccuracyTable!$C$2:$AF$31, MATCH($A23, AccuracyTable!$B$2:$B$31, 0), MATCH($B$8, AccuracyTable!$C$1:$AF$1, 0)))</f>
        <v>0.22239999999999999</v>
      </c>
      <c r="I23" s="22">
        <f>IF($B$9="","",INDEX(AccuracyTable!$C$2:$AF$31, MATCH($A23, AccuracyTable!$B$2:$B$31, 0), MATCH($B$9, AccuracyTable!$C$1:$AF$1, 0)))</f>
        <v>0.40579999999999999</v>
      </c>
      <c r="J23" s="22">
        <f>IF($B$10="","",INDEX(AccuracyTable!$C$2:$AF$31, MATCH($A23, AccuracyTable!$B$2:$B$31, 0), MATCH($B$10, AccuracyTable!$C$1:$AF$1, 0)))</f>
        <v>0.69959999999999989</v>
      </c>
      <c r="K23" s="21">
        <f t="shared" si="3"/>
        <v>0.39365440060698026</v>
      </c>
      <c r="L23" s="21">
        <f t="shared" si="4"/>
        <v>0.69099241274658563</v>
      </c>
      <c r="M23" s="21">
        <f t="shared" si="5"/>
        <v>1.2608125948406677</v>
      </c>
      <c r="N23" s="21">
        <f t="shared" si="6"/>
        <v>2.1736433990895292</v>
      </c>
    </row>
    <row r="24" spans="1:14" x14ac:dyDescent="0.25">
      <c r="A24" s="8" t="s">
        <v>73</v>
      </c>
      <c r="B24" s="7">
        <f>INDEX(AccuracyTable!$A$2:$A$31, MATCH($A24, AccuracyTable!$B$2:$B$31, 0))</f>
        <v>100</v>
      </c>
      <c r="C24" s="20">
        <v>0.2</v>
      </c>
      <c r="D24" s="21">
        <f t="shared" si="0"/>
        <v>20</v>
      </c>
      <c r="E24" s="22">
        <f t="shared" si="1"/>
        <v>3.7936267071320182E-2</v>
      </c>
      <c r="F24" s="21">
        <f t="shared" si="2"/>
        <v>3.4522003034901365</v>
      </c>
      <c r="G24" s="22">
        <f>IF($B$7="","",INDEX(AccuracyTable!$C$2:$AF$31, MATCH($A24, AccuracyTable!$B$2:$B$31, 0), MATCH($B$7, AccuracyTable!$C$1:$AF$1, 0)))</f>
        <v>8.0399999999999985E-2</v>
      </c>
      <c r="H24" s="22">
        <f>IF($B$8="","",INDEX(AccuracyTable!$C$2:$AF$31, MATCH($A24, AccuracyTable!$B$2:$B$31, 0), MATCH($B$8, AccuracyTable!$C$1:$AF$1, 0)))</f>
        <v>0.1212</v>
      </c>
      <c r="I24" s="22">
        <f>IF($B$9="","",INDEX(AccuracyTable!$C$2:$AF$31, MATCH($A24, AccuracyTable!$B$2:$B$31, 0), MATCH($B$9, AccuracyTable!$C$1:$AF$1, 0)))</f>
        <v>0.21029999999999999</v>
      </c>
      <c r="J24" s="22">
        <f>IF($B$10="","",INDEX(AccuracyTable!$C$2:$AF$31, MATCH($A24, AccuracyTable!$B$2:$B$31, 0), MATCH($B$10, AccuracyTable!$C$1:$AF$1, 0)))</f>
        <v>0.40870000000000001</v>
      </c>
      <c r="K24" s="21">
        <f t="shared" si="3"/>
        <v>0.27755690440060693</v>
      </c>
      <c r="L24" s="21">
        <f t="shared" si="4"/>
        <v>0.41840667678300453</v>
      </c>
      <c r="M24" s="21">
        <f t="shared" si="5"/>
        <v>0.72599772382397565</v>
      </c>
      <c r="N24" s="21">
        <f t="shared" si="6"/>
        <v>1.4109142640364187</v>
      </c>
    </row>
    <row r="25" spans="1:14" x14ac:dyDescent="0.25">
      <c r="A25" s="23" t="s">
        <v>122</v>
      </c>
      <c r="D25" s="24">
        <f>SUM($D$18:$D$24)</f>
        <v>527.20000000000005</v>
      </c>
      <c r="E25" s="25">
        <f>SUM($E$18:$E$24)</f>
        <v>0.99999999999999978</v>
      </c>
      <c r="F25" s="24">
        <f>SUM($F$18:$F$24)</f>
        <v>90.999999999999986</v>
      </c>
      <c r="K25" s="24">
        <f>SUM($K$18:$K$24)</f>
        <v>18.716442261001514</v>
      </c>
      <c r="L25" s="24">
        <f>SUM($L$18:$L$24)</f>
        <v>27.687174620637322</v>
      </c>
      <c r="M25" s="24">
        <f>SUM($M$18:$M$24)</f>
        <v>39.409155273141117</v>
      </c>
      <c r="N25" s="24">
        <f>SUM($N$18:$N$24)</f>
        <v>54.809234408194229</v>
      </c>
    </row>
    <row r="27" spans="1:14" ht="30" x14ac:dyDescent="0.25">
      <c r="A27" s="17" t="s">
        <v>123</v>
      </c>
      <c r="K27" s="21">
        <f>IF($B$7="","",SUMPRODUCT($F$18:$F$24,$G$18:$G$24,(1-$G$18:$G$24)))</f>
        <v>12.779888561638845</v>
      </c>
      <c r="L27" s="21">
        <f>IF($B$8="","",SUMPRODUCT($F$18:$F$24,$H$18:$H$24,(1-$H$18:$H$24)))</f>
        <v>16.093061267287553</v>
      </c>
      <c r="M27" s="21">
        <f>IF($B$9="","",SUMPRODUCT($F$18:$F$24,$I$18:$I$24,(1-$I$18:$I$24)))</f>
        <v>18.703434656445364</v>
      </c>
      <c r="N27" s="21">
        <f>IF($B$10="","",SUMPRODUCT($F$18:$F$24,$J$18:$J$24,(1-$J$18:$J$24)))</f>
        <v>18.501270678289071</v>
      </c>
    </row>
    <row r="28" spans="1:14" ht="30" x14ac:dyDescent="0.25">
      <c r="A28" s="17" t="s">
        <v>124</v>
      </c>
      <c r="K28" s="21">
        <f>IF($B$7="","",SQRT(K27))</f>
        <v>3.5748970001440386</v>
      </c>
      <c r="L28" s="21">
        <f>IF($B$8="","",SQRT(L27))</f>
        <v>4.0116157925812823</v>
      </c>
      <c r="M28" s="21">
        <f>IF($B$9="","",SQRT(M27))</f>
        <v>4.3247467736788199</v>
      </c>
      <c r="N28" s="21">
        <f>IF($B$10="","",SQRT(N27))</f>
        <v>4.3013103443356737</v>
      </c>
    </row>
  </sheetData>
  <mergeCells count="4">
    <mergeCell ref="A3:C3"/>
    <mergeCell ref="D3:N3"/>
    <mergeCell ref="A6:C6"/>
    <mergeCell ref="A1: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28"/>
  <sheetViews>
    <sheetView showGridLines="0" topLeftCell="A7" zoomScale="160" zoomScaleNormal="160" workbookViewId="0">
      <selection activeCell="C23" sqref="C23"/>
    </sheetView>
  </sheetViews>
  <sheetFormatPr defaultRowHeight="15" x14ac:dyDescent="0.25"/>
  <cols>
    <col min="1" max="1" width="10" customWidth="1"/>
    <col min="2" max="2" width="8" customWidth="1"/>
    <col min="3" max="5" width="12" customWidth="1"/>
    <col min="6" max="6" width="13" customWidth="1"/>
    <col min="7" max="10" width="12" customWidth="1"/>
    <col min="11" max="14" width="14" customWidth="1"/>
  </cols>
  <sheetData>
    <row r="1" spans="1:14" x14ac:dyDescent="0.25">
      <c r="A1" s="32" t="s">
        <v>126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</row>
    <row r="3" spans="1:14" x14ac:dyDescent="0.25">
      <c r="A3" s="27" t="s">
        <v>86</v>
      </c>
      <c r="B3" s="28"/>
      <c r="C3" s="28"/>
      <c r="D3" s="27" t="s">
        <v>87</v>
      </c>
      <c r="E3" s="28"/>
      <c r="F3" s="28"/>
      <c r="G3" s="28"/>
      <c r="H3" s="28"/>
      <c r="I3" s="28"/>
      <c r="J3" s="28"/>
      <c r="K3" s="28"/>
      <c r="L3" s="28"/>
      <c r="M3" s="28"/>
      <c r="N3" s="28"/>
    </row>
    <row r="4" spans="1:14" ht="75" x14ac:dyDescent="0.25">
      <c r="A4" t="s">
        <v>88</v>
      </c>
      <c r="B4" s="10">
        <v>3</v>
      </c>
      <c r="D4" s="1" t="s">
        <v>89</v>
      </c>
      <c r="E4" s="11">
        <f>M25</f>
        <v>39.221045786252354</v>
      </c>
    </row>
    <row r="5" spans="1:14" ht="60" x14ac:dyDescent="0.25">
      <c r="A5" t="s">
        <v>90</v>
      </c>
      <c r="B5" s="12">
        <v>73</v>
      </c>
      <c r="D5" s="1" t="s">
        <v>91</v>
      </c>
      <c r="E5" s="13">
        <f>ROUNDUP($E$4,0)</f>
        <v>40</v>
      </c>
    </row>
    <row r="6" spans="1:14" x14ac:dyDescent="0.25">
      <c r="A6" s="31" t="s">
        <v>92</v>
      </c>
      <c r="B6" s="28"/>
      <c r="C6" s="28"/>
    </row>
    <row r="7" spans="1:14" ht="30" x14ac:dyDescent="0.25">
      <c r="A7" t="s">
        <v>93</v>
      </c>
      <c r="B7" s="14">
        <f>IF(OR($B$4-1&lt;0.5,$B$4-1&gt;15),"",$B$4-1)</f>
        <v>2</v>
      </c>
      <c r="D7" s="1" t="s">
        <v>94</v>
      </c>
      <c r="E7" s="15">
        <f>IF($B$7="",-1,IF(K28=0,IF(K25&gt;=$E$5,1,0),1-_xlfn.NORM.DIST($E$5-0.5,K25,K28,TRUE)))</f>
        <v>1.3916978680583725E-11</v>
      </c>
    </row>
    <row r="8" spans="1:14" ht="45" x14ac:dyDescent="0.25">
      <c r="A8" t="s">
        <v>95</v>
      </c>
      <c r="B8" s="14">
        <f>IF(OR($B$4-0.5&lt;0.5,$B$4-0.5&gt;15),"",$B$4-0.5)</f>
        <v>2.5</v>
      </c>
      <c r="D8" s="1" t="s">
        <v>96</v>
      </c>
      <c r="E8" s="15">
        <f>IF($B$8="",-1,IF(L28=0,IF(L25&gt;=$E$5,1,0),1-_xlfn.NORM.DIST($E$5-0.5,L25,L28,TRUE)))</f>
        <v>4.0150664808724645E-4</v>
      </c>
    </row>
    <row r="9" spans="1:14" ht="30" x14ac:dyDescent="0.25">
      <c r="A9" t="s">
        <v>97</v>
      </c>
      <c r="B9" s="14">
        <f>$B$4</f>
        <v>3</v>
      </c>
      <c r="D9" s="1" t="s">
        <v>98</v>
      </c>
      <c r="E9" s="15">
        <f>IF($B$9="",-1,IF(M28=0,IF(M25&gt;=$E$5,1,0),1-_xlfn.NORM.DIST($E$5-0.5,M25,M28,TRUE)))</f>
        <v>0.4718243860258805</v>
      </c>
    </row>
    <row r="10" spans="1:14" ht="45" x14ac:dyDescent="0.25">
      <c r="A10" t="s">
        <v>99</v>
      </c>
      <c r="B10" s="14">
        <f>IF(OR($B$4+0.5&lt;0.5,$B$4+0.5&gt;15),"",$B$4+0.5)</f>
        <v>3.5</v>
      </c>
      <c r="D10" s="1" t="s">
        <v>100</v>
      </c>
      <c r="E10" s="15">
        <f>IF($B$10="",-1,IF(N28=0,IF(N25&gt;=$E$5,1,0),1-_xlfn.NORM.DIST($E$5-0.5,N25,N28,TRUE)))</f>
        <v>0.99375743804150007</v>
      </c>
    </row>
    <row r="11" spans="1:14" x14ac:dyDescent="0.25">
      <c r="E11" s="16" t="s">
        <v>101</v>
      </c>
      <c r="F11" s="16" t="s">
        <v>102</v>
      </c>
      <c r="G11" s="16" t="s">
        <v>103</v>
      </c>
      <c r="H11" s="16" t="s">
        <v>104</v>
      </c>
    </row>
    <row r="12" spans="1:14" ht="30" x14ac:dyDescent="0.25">
      <c r="D12" s="17" t="s">
        <v>105</v>
      </c>
      <c r="E12" s="18">
        <f>IF($B$7="","",K25)</f>
        <v>16.831402754237288</v>
      </c>
      <c r="F12" s="18">
        <f>IF($B$8="","",L25)</f>
        <v>26.666899140772127</v>
      </c>
      <c r="G12" s="18">
        <f>IF($B$9="","",M25)</f>
        <v>39.221045786252354</v>
      </c>
      <c r="H12" s="18">
        <f>IF($B$10="","",N25)</f>
        <v>48.852111240583802</v>
      </c>
    </row>
    <row r="13" spans="1:14" x14ac:dyDescent="0.25">
      <c r="D13" s="17" t="s">
        <v>106</v>
      </c>
      <c r="E13" s="19">
        <f>IF($B$7="","",K25/$B$5)</f>
        <v>0.23056716101694916</v>
      </c>
      <c r="F13" s="19">
        <f>IF($B$8="","",L25/$B$5)</f>
        <v>0.36529998822975518</v>
      </c>
      <c r="G13" s="19">
        <f>IF($B$9="","",M25/$B$5)</f>
        <v>0.53727459981167613</v>
      </c>
      <c r="H13" s="19">
        <f>IF($B$10="","",N25/$B$5)</f>
        <v>0.66920700329566851</v>
      </c>
    </row>
    <row r="14" spans="1:14" ht="30" x14ac:dyDescent="0.25">
      <c r="D14" s="17" t="s">
        <v>107</v>
      </c>
      <c r="E14" s="18">
        <f>IF($B$7="","",K28)</f>
        <v>3.4049214783502961</v>
      </c>
      <c r="F14" s="18">
        <f>IF($B$8="","",L28)</f>
        <v>3.8287716652347488</v>
      </c>
      <c r="G14" s="18">
        <f>IF($B$9="","",M28)</f>
        <v>3.9464633916204845</v>
      </c>
      <c r="H14" s="18">
        <f>IF($B$10="","",N28)</f>
        <v>3.7436483158573171</v>
      </c>
    </row>
    <row r="17" spans="1:14" ht="30" x14ac:dyDescent="0.25">
      <c r="A17" s="3" t="s">
        <v>108</v>
      </c>
      <c r="B17" s="3" t="s">
        <v>109</v>
      </c>
      <c r="C17" s="3" t="s">
        <v>110</v>
      </c>
      <c r="D17" s="3" t="s">
        <v>111</v>
      </c>
      <c r="E17" s="3" t="s">
        <v>112</v>
      </c>
      <c r="F17" s="3" t="s">
        <v>113</v>
      </c>
      <c r="G17" s="3" t="s">
        <v>114</v>
      </c>
      <c r="H17" s="3" t="s">
        <v>115</v>
      </c>
      <c r="I17" s="3" t="s">
        <v>116</v>
      </c>
      <c r="J17" s="3" t="s">
        <v>117</v>
      </c>
      <c r="K17" s="3" t="s">
        <v>118</v>
      </c>
      <c r="L17" s="3" t="s">
        <v>119</v>
      </c>
      <c r="M17" s="3" t="s">
        <v>120</v>
      </c>
      <c r="N17" s="3" t="s">
        <v>121</v>
      </c>
    </row>
    <row r="18" spans="1:14" x14ac:dyDescent="0.25">
      <c r="A18" s="8" t="s">
        <v>56</v>
      </c>
      <c r="B18" s="7">
        <f>INDEX(AccuracyTable!$A$2:$A$31, MATCH($A18, AccuracyTable!$B$2:$B$31, 0))</f>
        <v>69</v>
      </c>
      <c r="C18" s="20">
        <v>1</v>
      </c>
      <c r="D18" s="21">
        <f t="shared" ref="D18:D24" si="0">B18*C18</f>
        <v>69</v>
      </c>
      <c r="E18" s="22">
        <f t="shared" ref="E18:E24" si="1">D18/SUM($D$18:$D$24)</f>
        <v>4.0607344632768362E-2</v>
      </c>
      <c r="F18" s="21">
        <f t="shared" ref="F18:F24" si="2">$B$5*E18</f>
        <v>2.9643361581920904</v>
      </c>
      <c r="G18" s="22">
        <f>IF($B$7="","",INDEX(AccuracyTable!$C$2:$AF$31, MATCH($A18, AccuracyTable!$B$2:$B$31, 0), MATCH($B$7, AccuracyTable!$C$1:$AF$1, 0)))</f>
        <v>0.68510000000000004</v>
      </c>
      <c r="H18" s="22">
        <f>IF($B$8="","",INDEX(AccuracyTable!$C$2:$AF$31, MATCH($A18, AccuracyTable!$B$2:$B$31, 0), MATCH($B$8, AccuracyTable!$C$1:$AF$1, 0)))</f>
        <v>0.8599</v>
      </c>
      <c r="I18" s="22">
        <f>IF($B$9="","",INDEX(AccuracyTable!$C$2:$AF$31, MATCH($A18, AccuracyTable!$B$2:$B$31, 0), MATCH($B$9, AccuracyTable!$C$1:$AF$1, 0)))</f>
        <v>0.93969999999999998</v>
      </c>
      <c r="J18" s="22">
        <f>IF($B$10="","",INDEX(AccuracyTable!$C$2:$AF$31, MATCH($A18, AccuracyTable!$B$2:$B$31, 0), MATCH($B$10, AccuracyTable!$C$1:$AF$1, 0)))</f>
        <v>0.94940000000000002</v>
      </c>
      <c r="K18" s="21">
        <f t="shared" ref="K18:K24" si="3">IF($B$7="","",F18*G18)</f>
        <v>2.0308667019774012</v>
      </c>
      <c r="L18" s="21">
        <f t="shared" ref="L18:L24" si="4">IF($B$8="","",F18*H18)</f>
        <v>2.5490326624293784</v>
      </c>
      <c r="M18" s="21">
        <f t="shared" ref="M18:M24" si="5">IF($B$9="","",F18*I18)</f>
        <v>2.7855866878531073</v>
      </c>
      <c r="N18" s="21">
        <f t="shared" ref="N18:N24" si="6">IF($B$10="","",F18*J18)</f>
        <v>2.8143407485875707</v>
      </c>
    </row>
    <row r="19" spans="1:14" x14ac:dyDescent="0.25">
      <c r="A19" s="8" t="s">
        <v>57</v>
      </c>
      <c r="B19" s="7">
        <f>INDEX(AccuracyTable!$A$2:$A$31, MATCH($A19, AccuracyTable!$B$2:$B$31, 0))</f>
        <v>196</v>
      </c>
      <c r="C19" s="20">
        <v>1.5</v>
      </c>
      <c r="D19" s="21">
        <f t="shared" si="0"/>
        <v>294</v>
      </c>
      <c r="E19" s="22">
        <f t="shared" si="1"/>
        <v>0.1730225988700565</v>
      </c>
      <c r="F19" s="21">
        <f t="shared" si="2"/>
        <v>12.630649717514125</v>
      </c>
      <c r="G19" s="22">
        <f>IF($B$7="","",INDEX(AccuracyTable!$C$2:$AF$31, MATCH($A19, AccuracyTable!$B$2:$B$31, 0), MATCH($B$7, AccuracyTable!$C$1:$AF$1, 0)))</f>
        <v>0.39489999999999997</v>
      </c>
      <c r="H19" s="22">
        <f>IF($B$8="","",INDEX(AccuracyTable!$C$2:$AF$31, MATCH($A19, AccuracyTable!$B$2:$B$31, 0), MATCH($B$8, AccuracyTable!$C$1:$AF$1, 0)))</f>
        <v>0.58560000000000001</v>
      </c>
      <c r="I19" s="22">
        <f>IF($B$9="","",INDEX(AccuracyTable!$C$2:$AF$31, MATCH($A19, AccuracyTable!$B$2:$B$31, 0), MATCH($B$9, AccuracyTable!$C$1:$AF$1, 0)))</f>
        <v>0.77510000000000001</v>
      </c>
      <c r="J19" s="22">
        <f>IF($B$10="","",INDEX(AccuracyTable!$C$2:$AF$31, MATCH($A19, AccuracyTable!$B$2:$B$31, 0), MATCH($B$10, AccuracyTable!$C$1:$AF$1, 0)))</f>
        <v>0.87939999999999996</v>
      </c>
      <c r="K19" s="21">
        <f t="shared" si="3"/>
        <v>4.9878435734463276</v>
      </c>
      <c r="L19" s="21">
        <f t="shared" si="4"/>
        <v>7.3965084745762715</v>
      </c>
      <c r="M19" s="21">
        <f t="shared" si="5"/>
        <v>9.7900165960451986</v>
      </c>
      <c r="N19" s="21">
        <f t="shared" si="6"/>
        <v>11.10739336158192</v>
      </c>
    </row>
    <row r="20" spans="1:14" x14ac:dyDescent="0.25">
      <c r="A20" s="8" t="s">
        <v>58</v>
      </c>
      <c r="B20" s="7">
        <f>INDEX(AccuracyTable!$A$2:$A$31, MATCH($A20, AccuracyTable!$B$2:$B$31, 0))</f>
        <v>534</v>
      </c>
      <c r="C20" s="20">
        <v>1.3</v>
      </c>
      <c r="D20" s="21">
        <f t="shared" si="0"/>
        <v>694.2</v>
      </c>
      <c r="E20" s="22">
        <f t="shared" si="1"/>
        <v>0.408545197740113</v>
      </c>
      <c r="F20" s="21">
        <f t="shared" si="2"/>
        <v>29.823799435028249</v>
      </c>
      <c r="G20" s="22">
        <f>IF($B$7="","",INDEX(AccuracyTable!$C$2:$AF$31, MATCH($A20, AccuracyTable!$B$2:$B$31, 0), MATCH($B$7, AccuracyTable!$C$1:$AF$1, 0)))</f>
        <v>0.1981</v>
      </c>
      <c r="H20" s="22">
        <f>IF($B$8="","",INDEX(AccuracyTable!$C$2:$AF$31, MATCH($A20, AccuracyTable!$B$2:$B$31, 0), MATCH($B$8, AccuracyTable!$C$1:$AF$1, 0)))</f>
        <v>0.32869999999999999</v>
      </c>
      <c r="I20" s="22">
        <f>IF($B$9="","",INDEX(AccuracyTable!$C$2:$AF$31, MATCH($A20, AccuracyTable!$B$2:$B$31, 0), MATCH($B$9, AccuracyTable!$C$1:$AF$1, 0)))</f>
        <v>0.50049999999999994</v>
      </c>
      <c r="J20" s="22">
        <f>IF($B$10="","",INDEX(AccuracyTable!$C$2:$AF$31, MATCH($A20, AccuracyTable!$B$2:$B$31, 0), MATCH($B$10, AccuracyTable!$C$1:$AF$1, 0)))</f>
        <v>0.63969999999999994</v>
      </c>
      <c r="K20" s="21">
        <f t="shared" si="3"/>
        <v>5.9080946680790962</v>
      </c>
      <c r="L20" s="21">
        <f t="shared" si="4"/>
        <v>9.8030828742937857</v>
      </c>
      <c r="M20" s="21">
        <f t="shared" si="5"/>
        <v>14.926811617231637</v>
      </c>
      <c r="N20" s="21">
        <f t="shared" si="6"/>
        <v>19.078284498587568</v>
      </c>
    </row>
    <row r="21" spans="1:14" x14ac:dyDescent="0.25">
      <c r="A21" s="8" t="s">
        <v>59</v>
      </c>
      <c r="B21" s="7">
        <f>INDEX(AccuracyTable!$A$2:$A$31, MATCH($A21, AccuracyTable!$B$2:$B$31, 0))</f>
        <v>698</v>
      </c>
      <c r="C21" s="20">
        <v>0.5</v>
      </c>
      <c r="D21" s="21">
        <f t="shared" si="0"/>
        <v>349</v>
      </c>
      <c r="E21" s="22">
        <f t="shared" si="1"/>
        <v>0.20539077212806026</v>
      </c>
      <c r="F21" s="21">
        <f t="shared" si="2"/>
        <v>14.993526365348398</v>
      </c>
      <c r="G21" s="22">
        <f>IF($B$7="","",INDEX(AccuracyTable!$C$2:$AF$31, MATCH($A21, AccuracyTable!$B$2:$B$31, 0), MATCH($B$7, AccuracyTable!$C$1:$AF$1, 0)))</f>
        <v>0.1018</v>
      </c>
      <c r="H21" s="22">
        <f>IF($B$8="","",INDEX(AccuracyTable!$C$2:$AF$31, MATCH($A21, AccuracyTable!$B$2:$B$31, 0), MATCH($B$8, AccuracyTable!$C$1:$AF$1, 0)))</f>
        <v>0.16669999999999999</v>
      </c>
      <c r="I21" s="22">
        <f>IF($B$9="","",INDEX(AccuracyTable!$C$2:$AF$31, MATCH($A21, AccuracyTable!$B$2:$B$31, 0), MATCH($B$9, AccuracyTable!$C$1:$AF$1, 0)))</f>
        <v>0.28399999999999997</v>
      </c>
      <c r="J21" s="22">
        <f>IF($B$10="","",INDEX(AccuracyTable!$C$2:$AF$31, MATCH($A21, AccuracyTable!$B$2:$B$31, 0), MATCH($B$10, AccuracyTable!$C$1:$AF$1, 0)))</f>
        <v>0.40720000000000001</v>
      </c>
      <c r="K21" s="21">
        <f t="shared" si="3"/>
        <v>1.5263409839924669</v>
      </c>
      <c r="L21" s="21">
        <f t="shared" si="4"/>
        <v>2.4994208451035775</v>
      </c>
      <c r="M21" s="21">
        <f t="shared" si="5"/>
        <v>4.2581614877589447</v>
      </c>
      <c r="N21" s="21">
        <f t="shared" si="6"/>
        <v>6.1053639359698675</v>
      </c>
    </row>
    <row r="22" spans="1:14" x14ac:dyDescent="0.25">
      <c r="A22" s="8" t="s">
        <v>72</v>
      </c>
      <c r="B22" s="7">
        <f>INDEX(AccuracyTable!$A$2:$A$31, MATCH($A22, AccuracyTable!$B$2:$B$31, 0))</f>
        <v>36</v>
      </c>
      <c r="C22" s="20">
        <v>1</v>
      </c>
      <c r="D22" s="21">
        <f t="shared" si="0"/>
        <v>36</v>
      </c>
      <c r="E22" s="22">
        <f t="shared" si="1"/>
        <v>2.1186440677966101E-2</v>
      </c>
      <c r="F22" s="21">
        <f t="shared" si="2"/>
        <v>1.5466101694915253</v>
      </c>
      <c r="G22" s="22">
        <f>IF($B$7="","",INDEX(AccuracyTable!$C$2:$AF$31, MATCH($A22, AccuracyTable!$B$2:$B$31, 0), MATCH($B$7, AccuracyTable!$C$1:$AF$1, 0)))</f>
        <v>0.40579999999999999</v>
      </c>
      <c r="H22" s="22">
        <f>IF($B$8="","",INDEX(AccuracyTable!$C$2:$AF$31, MATCH($A22, AccuracyTable!$B$2:$B$31, 0), MATCH($B$8, AccuracyTable!$C$1:$AF$1, 0)))</f>
        <v>0.69959999999999989</v>
      </c>
      <c r="I22" s="22">
        <f>IF($B$9="","",INDEX(AccuracyTable!$C$2:$AF$31, MATCH($A22, AccuracyTable!$B$2:$B$31, 0), MATCH($B$9, AccuracyTable!$C$1:$AF$1, 0)))</f>
        <v>0.90900000000000003</v>
      </c>
      <c r="J22" s="22">
        <f>IF($B$10="","",INDEX(AccuracyTable!$C$2:$AF$31, MATCH($A22, AccuracyTable!$B$2:$B$31, 0), MATCH($B$10, AccuracyTable!$C$1:$AF$1, 0)))</f>
        <v>0.94700000000000006</v>
      </c>
      <c r="K22" s="21">
        <f t="shared" si="3"/>
        <v>0.62761440677966096</v>
      </c>
      <c r="L22" s="21">
        <f t="shared" si="4"/>
        <v>1.082008474576271</v>
      </c>
      <c r="M22" s="21">
        <f t="shared" si="5"/>
        <v>1.4058686440677965</v>
      </c>
      <c r="N22" s="21">
        <f t="shared" si="6"/>
        <v>1.4646398305084745</v>
      </c>
    </row>
    <row r="23" spans="1:14" x14ac:dyDescent="0.25">
      <c r="A23" s="8" t="s">
        <v>73</v>
      </c>
      <c r="B23" s="7">
        <f>INDEX(AccuracyTable!$A$2:$A$31, MATCH($A23, AccuracyTable!$B$2:$B$31, 0))</f>
        <v>100</v>
      </c>
      <c r="C23" s="20">
        <v>1</v>
      </c>
      <c r="D23" s="21">
        <f t="shared" si="0"/>
        <v>100</v>
      </c>
      <c r="E23" s="22">
        <f t="shared" si="1"/>
        <v>5.885122410546139E-2</v>
      </c>
      <c r="F23" s="21">
        <f t="shared" si="2"/>
        <v>4.2961393596986817</v>
      </c>
      <c r="G23" s="22">
        <f>IF($B$7="","",INDEX(AccuracyTable!$C$2:$AF$31, MATCH($A23, AccuracyTable!$B$2:$B$31, 0), MATCH($B$7, AccuracyTable!$C$1:$AF$1, 0)))</f>
        <v>0.21029999999999999</v>
      </c>
      <c r="H23" s="22">
        <f>IF($B$8="","",INDEX(AccuracyTable!$C$2:$AF$31, MATCH($A23, AccuracyTable!$B$2:$B$31, 0), MATCH($B$8, AccuracyTable!$C$1:$AF$1, 0)))</f>
        <v>0.40870000000000001</v>
      </c>
      <c r="I23" s="22">
        <f>IF($B$9="","",INDEX(AccuracyTable!$C$2:$AF$31, MATCH($A23, AccuracyTable!$B$2:$B$31, 0), MATCH($B$9, AccuracyTable!$C$1:$AF$1, 0)))</f>
        <v>0.70030000000000003</v>
      </c>
      <c r="J23" s="22">
        <f>IF($B$10="","",INDEX(AccuracyTable!$C$2:$AF$31, MATCH($A23, AccuracyTable!$B$2:$B$31, 0), MATCH($B$10, AccuracyTable!$C$1:$AF$1, 0)))</f>
        <v>0.87370000000000003</v>
      </c>
      <c r="K23" s="21">
        <f t="shared" si="3"/>
        <v>0.90347810734463274</v>
      </c>
      <c r="L23" s="21">
        <f t="shared" si="4"/>
        <v>1.7558321563088513</v>
      </c>
      <c r="M23" s="21">
        <f t="shared" si="5"/>
        <v>3.0085863935969868</v>
      </c>
      <c r="N23" s="21">
        <f t="shared" si="6"/>
        <v>3.7535369585687381</v>
      </c>
    </row>
    <row r="24" spans="1:14" x14ac:dyDescent="0.25">
      <c r="A24" s="8" t="s">
        <v>74</v>
      </c>
      <c r="B24" s="7">
        <f>INDEX(AccuracyTable!$A$2:$A$31, MATCH($A24, AccuracyTable!$B$2:$B$31, 0))</f>
        <v>314</v>
      </c>
      <c r="C24" s="20">
        <v>0.5</v>
      </c>
      <c r="D24" s="21">
        <f t="shared" si="0"/>
        <v>157</v>
      </c>
      <c r="E24" s="22">
        <f t="shared" si="1"/>
        <v>9.2396421845574381E-2</v>
      </c>
      <c r="F24" s="21">
        <f t="shared" si="2"/>
        <v>6.7449387947269299</v>
      </c>
      <c r="G24" s="22">
        <f>IF($B$7="","",INDEX(AccuracyTable!$C$2:$AF$31, MATCH($A24, AccuracyTable!$B$2:$B$31, 0), MATCH($B$7, AccuracyTable!$C$1:$AF$1, 0)))</f>
        <v>0.12559999999999999</v>
      </c>
      <c r="H24" s="22">
        <f>IF($B$8="","",INDEX(AccuracyTable!$C$2:$AF$31, MATCH($A24, AccuracyTable!$B$2:$B$31, 0), MATCH($B$8, AccuracyTable!$C$1:$AF$1, 0)))</f>
        <v>0.2344</v>
      </c>
      <c r="I24" s="22">
        <f>IF($B$9="","",INDEX(AccuracyTable!$C$2:$AF$31, MATCH($A24, AccuracyTable!$B$2:$B$31, 0), MATCH($B$9, AccuracyTable!$C$1:$AF$1, 0)))</f>
        <v>0.45159999999999989</v>
      </c>
      <c r="J24" s="22">
        <f>IF($B$10="","",INDEX(AccuracyTable!$C$2:$AF$31, MATCH($A24, AccuracyTable!$B$2:$B$31, 0), MATCH($B$10, AccuracyTable!$C$1:$AF$1, 0)))</f>
        <v>0.6714</v>
      </c>
      <c r="K24" s="21">
        <f t="shared" si="3"/>
        <v>0.84716431261770231</v>
      </c>
      <c r="L24" s="21">
        <f t="shared" si="4"/>
        <v>1.5810136534839923</v>
      </c>
      <c r="M24" s="21">
        <f t="shared" si="5"/>
        <v>3.0460143596986806</v>
      </c>
      <c r="N24" s="21">
        <f t="shared" si="6"/>
        <v>4.5285519067796605</v>
      </c>
    </row>
    <row r="25" spans="1:14" x14ac:dyDescent="0.25">
      <c r="A25" s="23" t="s">
        <v>122</v>
      </c>
      <c r="D25" s="24">
        <f>SUM($D$18:$D$24)</f>
        <v>1699.2</v>
      </c>
      <c r="E25" s="25">
        <f>SUM($E$18:$E$24)</f>
        <v>0.99999999999999989</v>
      </c>
      <c r="F25" s="24">
        <f>SUM($F$18:$F$24)</f>
        <v>73</v>
      </c>
      <c r="K25" s="24">
        <f>SUM($K$18:$K$24)</f>
        <v>16.831402754237288</v>
      </c>
      <c r="L25" s="24">
        <f>SUM($L$18:$L$24)</f>
        <v>26.666899140772127</v>
      </c>
      <c r="M25" s="24">
        <f>SUM($M$18:$M$24)</f>
        <v>39.221045786252354</v>
      </c>
      <c r="N25" s="24">
        <f>SUM($N$18:$N$24)</f>
        <v>48.852111240583802</v>
      </c>
    </row>
    <row r="27" spans="1:14" ht="30" x14ac:dyDescent="0.25">
      <c r="A27" s="17" t="s">
        <v>123</v>
      </c>
      <c r="K27" s="21">
        <f>IF($B$7="","",SUMPRODUCT($F$18:$F$24,$G$18:$G$24,(1-$G$18:$G$24)))</f>
        <v>11.593490273731165</v>
      </c>
      <c r="L27" s="21">
        <f>IF($B$8="","",SUMPRODUCT($F$18:$F$24,$H$18:$H$24,(1-$H$18:$H$24)))</f>
        <v>14.659492464504472</v>
      </c>
      <c r="M27" s="21">
        <f>IF($B$9="","",SUMPRODUCT($F$18:$F$24,$I$18:$I$24,(1-$I$18:$I$24)))</f>
        <v>15.574573301400658</v>
      </c>
      <c r="N27" s="21">
        <f>IF($B$10="","",SUMPRODUCT($F$18:$F$24,$J$18:$J$24,(1-$J$18:$J$24)))</f>
        <v>14.014902712821325</v>
      </c>
    </row>
    <row r="28" spans="1:14" ht="30" x14ac:dyDescent="0.25">
      <c r="A28" s="17" t="s">
        <v>124</v>
      </c>
      <c r="K28" s="21">
        <f>IF($B$7="","",SQRT(K27))</f>
        <v>3.4049214783502961</v>
      </c>
      <c r="L28" s="21">
        <f>IF($B$8="","",SQRT(L27))</f>
        <v>3.8287716652347488</v>
      </c>
      <c r="M28" s="21">
        <f>IF($B$9="","",SQRT(M27))</f>
        <v>3.9464633916204845</v>
      </c>
      <c r="N28" s="21">
        <f>IF($B$10="","",SQRT(N27))</f>
        <v>3.7436483158573171</v>
      </c>
    </row>
  </sheetData>
  <mergeCells count="4">
    <mergeCell ref="A3:C3"/>
    <mergeCell ref="D3:N3"/>
    <mergeCell ref="A6:C6"/>
    <mergeCell ref="A1:N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29"/>
  <sheetViews>
    <sheetView showGridLines="0" topLeftCell="A13" zoomScale="175" zoomScaleNormal="175" workbookViewId="0">
      <selection activeCell="C25" sqref="C25"/>
    </sheetView>
  </sheetViews>
  <sheetFormatPr defaultRowHeight="15" x14ac:dyDescent="0.25"/>
  <cols>
    <col min="1" max="1" width="10" customWidth="1"/>
    <col min="2" max="2" width="8" customWidth="1"/>
    <col min="3" max="5" width="12" customWidth="1"/>
    <col min="6" max="6" width="13" customWidth="1"/>
    <col min="7" max="10" width="12" customWidth="1"/>
    <col min="11" max="14" width="14" customWidth="1"/>
  </cols>
  <sheetData>
    <row r="1" spans="1:14" x14ac:dyDescent="0.25">
      <c r="A1" s="32" t="s">
        <v>127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</row>
    <row r="3" spans="1:14" x14ac:dyDescent="0.25">
      <c r="A3" s="27" t="s">
        <v>86</v>
      </c>
      <c r="B3" s="28"/>
      <c r="C3" s="28"/>
      <c r="D3" s="27" t="s">
        <v>87</v>
      </c>
      <c r="E3" s="28"/>
      <c r="F3" s="28"/>
      <c r="G3" s="28"/>
      <c r="H3" s="28"/>
      <c r="I3" s="28"/>
      <c r="J3" s="28"/>
      <c r="K3" s="28"/>
      <c r="L3" s="28"/>
      <c r="M3" s="28"/>
      <c r="N3" s="28"/>
    </row>
    <row r="4" spans="1:14" ht="75" x14ac:dyDescent="0.25">
      <c r="A4" t="s">
        <v>88</v>
      </c>
      <c r="B4" s="10">
        <v>4</v>
      </c>
      <c r="D4" s="1" t="s">
        <v>89</v>
      </c>
      <c r="E4" s="11">
        <f>M26</f>
        <v>49.133460832116789</v>
      </c>
    </row>
    <row r="5" spans="1:14" ht="60" x14ac:dyDescent="0.25">
      <c r="A5" t="s">
        <v>90</v>
      </c>
      <c r="B5" s="12">
        <v>89</v>
      </c>
      <c r="D5" s="1" t="s">
        <v>91</v>
      </c>
      <c r="E5" s="13">
        <f>ROUNDUP($E$4,0)</f>
        <v>50</v>
      </c>
    </row>
    <row r="6" spans="1:14" x14ac:dyDescent="0.25">
      <c r="A6" s="31" t="s">
        <v>92</v>
      </c>
      <c r="B6" s="28"/>
      <c r="C6" s="28"/>
    </row>
    <row r="7" spans="1:14" ht="30" x14ac:dyDescent="0.25">
      <c r="A7" t="s">
        <v>93</v>
      </c>
      <c r="B7" s="14">
        <f>IF(OR($B$4-1&lt;0.5,$B$4-1&gt;15),"",$B$4-1)</f>
        <v>3</v>
      </c>
      <c r="D7" s="1" t="s">
        <v>94</v>
      </c>
      <c r="E7" s="15">
        <f>IF($B$7="",-1,IF(K29=0,IF(K26&gt;=$E$5,1,0),1-_xlfn.NORM.DIST($E$5-0.5,K26,K29,TRUE)))</f>
        <v>3.2907709335283641E-8</v>
      </c>
    </row>
    <row r="8" spans="1:14" ht="45" x14ac:dyDescent="0.25">
      <c r="A8" t="s">
        <v>95</v>
      </c>
      <c r="B8" s="14">
        <f>IF(OR($B$4-0.5&lt;0.5,$B$4-0.5&gt;15),"",$B$4-0.5)</f>
        <v>3.5</v>
      </c>
      <c r="D8" s="1" t="s">
        <v>96</v>
      </c>
      <c r="E8" s="15">
        <f>IF($B$8="",-1,IF(L29=0,IF(L26&gt;=$E$5,1,0),1-_xlfn.NORM.DIST($E$5-0.5,L26,L29,TRUE)))</f>
        <v>3.2095504152491738E-3</v>
      </c>
    </row>
    <row r="9" spans="1:14" ht="30" x14ac:dyDescent="0.25">
      <c r="A9" t="s">
        <v>97</v>
      </c>
      <c r="B9" s="14">
        <f>$B$4</f>
        <v>4</v>
      </c>
      <c r="D9" s="1" t="s">
        <v>98</v>
      </c>
      <c r="E9" s="15">
        <f>IF($B$9="",-1,IF(M29=0,IF(M26&gt;=$E$5,1,0),1-_xlfn.NORM.DIST($E$5-0.5,M26,M29,TRUE)))</f>
        <v>0.46504068342595439</v>
      </c>
    </row>
    <row r="10" spans="1:14" ht="45" x14ac:dyDescent="0.25">
      <c r="A10" t="s">
        <v>99</v>
      </c>
      <c r="B10" s="14">
        <f>IF(OR($B$4+0.5&lt;0.5,$B$4+0.5&gt;15),"",$B$4+0.5)</f>
        <v>4.5</v>
      </c>
      <c r="D10" s="1" t="s">
        <v>100</v>
      </c>
      <c r="E10" s="15">
        <f>IF($B$10="",-1,IF(N29=0,IF(N26&gt;=$E$5,1,0),1-_xlfn.NORM.DIST($E$5-0.5,N26,N29,TRUE)))</f>
        <v>0.99803655021593851</v>
      </c>
    </row>
    <row r="11" spans="1:14" x14ac:dyDescent="0.25">
      <c r="E11" s="16" t="s">
        <v>101</v>
      </c>
      <c r="F11" s="16" t="s">
        <v>102</v>
      </c>
      <c r="G11" s="16" t="s">
        <v>103</v>
      </c>
      <c r="H11" s="16" t="s">
        <v>104</v>
      </c>
    </row>
    <row r="12" spans="1:14" ht="30" x14ac:dyDescent="0.25">
      <c r="D12" s="17" t="s">
        <v>105</v>
      </c>
      <c r="E12" s="18">
        <f>IF($B$7="","",K26)</f>
        <v>27.751374107055963</v>
      </c>
      <c r="F12" s="18">
        <f>IF($B$8="","",L26)</f>
        <v>38.009164819951337</v>
      </c>
      <c r="G12" s="18">
        <f>IF($B$9="","",M26)</f>
        <v>49.133460832116789</v>
      </c>
      <c r="H12" s="18">
        <f>IF($B$10="","",N26)</f>
        <v>60.71112176155718</v>
      </c>
    </row>
    <row r="13" spans="1:14" x14ac:dyDescent="0.25">
      <c r="D13" s="17" t="s">
        <v>106</v>
      </c>
      <c r="E13" s="19">
        <f>IF($B$7="","",K26/$B$5)</f>
        <v>0.31181319221411191</v>
      </c>
      <c r="F13" s="19">
        <f>IF($B$8="","",L26/$B$5)</f>
        <v>0.42706926763990266</v>
      </c>
      <c r="G13" s="19">
        <f>IF($B$9="","",M26/$B$5)</f>
        <v>0.55206135766423359</v>
      </c>
      <c r="H13" s="19">
        <f>IF($B$10="","",N26/$B$5)</f>
        <v>0.68214743552311441</v>
      </c>
    </row>
    <row r="14" spans="1:14" ht="30" x14ac:dyDescent="0.25">
      <c r="D14" s="17" t="s">
        <v>107</v>
      </c>
      <c r="E14" s="18">
        <f>IF($B$7="","",K29)</f>
        <v>4.0258565926929082</v>
      </c>
      <c r="F14" s="18">
        <f>IF($B$8="","",L29)</f>
        <v>4.2159419215233109</v>
      </c>
      <c r="G14" s="18">
        <f>IF($B$9="","",M29)</f>
        <v>4.1774432040009852</v>
      </c>
      <c r="H14" s="18">
        <f>IF($B$10="","",N29)</f>
        <v>3.8873852428004327</v>
      </c>
    </row>
    <row r="17" spans="1:14" ht="30" x14ac:dyDescent="0.25">
      <c r="A17" s="3" t="s">
        <v>108</v>
      </c>
      <c r="B17" s="3" t="s">
        <v>109</v>
      </c>
      <c r="C17" s="3" t="s">
        <v>110</v>
      </c>
      <c r="D17" s="3" t="s">
        <v>111</v>
      </c>
      <c r="E17" s="3" t="s">
        <v>112</v>
      </c>
      <c r="F17" s="3" t="s">
        <v>113</v>
      </c>
      <c r="G17" s="3" t="s">
        <v>114</v>
      </c>
      <c r="H17" s="3" t="s">
        <v>115</v>
      </c>
      <c r="I17" s="3" t="s">
        <v>116</v>
      </c>
      <c r="J17" s="3" t="s">
        <v>117</v>
      </c>
      <c r="K17" s="3" t="s">
        <v>118</v>
      </c>
      <c r="L17" s="3" t="s">
        <v>119</v>
      </c>
      <c r="M17" s="3" t="s">
        <v>120</v>
      </c>
      <c r="N17" s="3" t="s">
        <v>121</v>
      </c>
    </row>
    <row r="18" spans="1:14" x14ac:dyDescent="0.25">
      <c r="A18" s="8" t="s">
        <v>57</v>
      </c>
      <c r="B18" s="7">
        <f>INDEX(AccuracyTable!$A$2:$A$31, MATCH($A18, AccuracyTable!$B$2:$B$31, 0))</f>
        <v>196</v>
      </c>
      <c r="C18" s="20">
        <v>1</v>
      </c>
      <c r="D18" s="21">
        <f t="shared" ref="D18:D25" si="0">B18*C18</f>
        <v>196</v>
      </c>
      <c r="E18" s="22">
        <f t="shared" ref="E18:E25" si="1">D18/SUM($D$18:$D$25)</f>
        <v>4.7688564476885645E-2</v>
      </c>
      <c r="F18" s="21">
        <f t="shared" ref="F18:F25" si="2">$B$5*E18</f>
        <v>4.244282238442822</v>
      </c>
      <c r="G18" s="22">
        <f>IF($B$7="","",INDEX(AccuracyTable!$C$2:$AF$31, MATCH($A18, AccuracyTable!$B$2:$B$31, 0), MATCH($B$7, AccuracyTable!$C$1:$AF$1, 0)))</f>
        <v>0.77510000000000001</v>
      </c>
      <c r="H18" s="22">
        <f>IF($B$8="","",INDEX(AccuracyTable!$C$2:$AF$31, MATCH($A18, AccuracyTable!$B$2:$B$31, 0), MATCH($B$8, AccuracyTable!$C$1:$AF$1, 0)))</f>
        <v>0.87939999999999996</v>
      </c>
      <c r="I18" s="22">
        <f>IF($B$9="","",INDEX(AccuracyTable!$C$2:$AF$31, MATCH($A18, AccuracyTable!$B$2:$B$31, 0), MATCH($B$9, AccuracyTable!$C$1:$AF$1, 0)))</f>
        <v>0.93330000000000002</v>
      </c>
      <c r="J18" s="22">
        <f>IF($B$10="","",INDEX(AccuracyTable!$C$2:$AF$31, MATCH($A18, AccuracyTable!$B$2:$B$31, 0), MATCH($B$10, AccuracyTable!$C$1:$AF$1, 0)))</f>
        <v>0.94909999999999994</v>
      </c>
      <c r="K18" s="21">
        <f t="shared" ref="K18:K25" si="3">IF($B$7="","",F18*G18)</f>
        <v>3.2897431630170315</v>
      </c>
      <c r="L18" s="21">
        <f t="shared" ref="L18:L25" si="4">IF($B$8="","",F18*H18)</f>
        <v>3.7324218004866174</v>
      </c>
      <c r="M18" s="21">
        <f t="shared" ref="M18:M25" si="5">IF($B$9="","",F18*I18)</f>
        <v>3.961188613138686</v>
      </c>
      <c r="N18" s="21">
        <f t="shared" ref="N18:N25" si="6">IF($B$10="","",F18*J18)</f>
        <v>4.0282482725060822</v>
      </c>
    </row>
    <row r="19" spans="1:14" x14ac:dyDescent="0.25">
      <c r="A19" s="8" t="s">
        <v>58</v>
      </c>
      <c r="B19" s="7">
        <f>INDEX(AccuracyTable!$A$2:$A$31, MATCH($A19, AccuracyTable!$B$2:$B$31, 0))</f>
        <v>534</v>
      </c>
      <c r="C19" s="20">
        <v>1.3</v>
      </c>
      <c r="D19" s="21">
        <f t="shared" si="0"/>
        <v>694.2</v>
      </c>
      <c r="E19" s="22">
        <f t="shared" si="1"/>
        <v>0.1689051094890511</v>
      </c>
      <c r="F19" s="21">
        <f t="shared" si="2"/>
        <v>15.032554744525548</v>
      </c>
      <c r="G19" s="22">
        <f>IF($B$7="","",INDEX(AccuracyTable!$C$2:$AF$31, MATCH($A19, AccuracyTable!$B$2:$B$31, 0), MATCH($B$7, AccuracyTable!$C$1:$AF$1, 0)))</f>
        <v>0.50049999999999994</v>
      </c>
      <c r="H19" s="22">
        <f>IF($B$8="","",INDEX(AccuracyTable!$C$2:$AF$31, MATCH($A19, AccuracyTable!$B$2:$B$31, 0), MATCH($B$8, AccuracyTable!$C$1:$AF$1, 0)))</f>
        <v>0.63969999999999994</v>
      </c>
      <c r="I19" s="22">
        <f>IF($B$9="","",INDEX(AccuracyTable!$C$2:$AF$31, MATCH($A19, AccuracyTable!$B$2:$B$31, 0), MATCH($B$9, AccuracyTable!$C$1:$AF$1, 0)))</f>
        <v>0.76700000000000002</v>
      </c>
      <c r="J19" s="22">
        <f>IF($B$10="","",INDEX(AccuracyTable!$C$2:$AF$31, MATCH($A19, AccuracyTable!$B$2:$B$31, 0), MATCH($B$10, AccuracyTable!$C$1:$AF$1, 0)))</f>
        <v>0.87319999999999998</v>
      </c>
      <c r="K19" s="21">
        <f t="shared" si="3"/>
        <v>7.5237936496350359</v>
      </c>
      <c r="L19" s="21">
        <f t="shared" si="4"/>
        <v>9.6163252700729913</v>
      </c>
      <c r="M19" s="21">
        <f t="shared" si="5"/>
        <v>11.529969489051096</v>
      </c>
      <c r="N19" s="21">
        <f t="shared" si="6"/>
        <v>13.126426802919708</v>
      </c>
    </row>
    <row r="20" spans="1:14" x14ac:dyDescent="0.25">
      <c r="A20" s="8" t="s">
        <v>59</v>
      </c>
      <c r="B20" s="7">
        <f>INDEX(AccuracyTable!$A$2:$A$31, MATCH($A20, AccuracyTable!$B$2:$B$31, 0))</f>
        <v>698</v>
      </c>
      <c r="C20" s="20">
        <v>1.5</v>
      </c>
      <c r="D20" s="21">
        <f t="shared" si="0"/>
        <v>1047</v>
      </c>
      <c r="E20" s="22">
        <f t="shared" si="1"/>
        <v>0.25474452554744526</v>
      </c>
      <c r="F20" s="21">
        <f t="shared" si="2"/>
        <v>22.672262773722629</v>
      </c>
      <c r="G20" s="22">
        <f>IF($B$7="","",INDEX(AccuracyTable!$C$2:$AF$31, MATCH($A20, AccuracyTable!$B$2:$B$31, 0), MATCH($B$7, AccuracyTable!$C$1:$AF$1, 0)))</f>
        <v>0.28399999999999997</v>
      </c>
      <c r="H20" s="22">
        <f>IF($B$8="","",INDEX(AccuracyTable!$C$2:$AF$31, MATCH($A20, AccuracyTable!$B$2:$B$31, 0), MATCH($B$8, AccuracyTable!$C$1:$AF$1, 0)))</f>
        <v>0.40720000000000001</v>
      </c>
      <c r="I20" s="22">
        <f>IF($B$9="","",INDEX(AccuracyTable!$C$2:$AF$31, MATCH($A20, AccuracyTable!$B$2:$B$31, 0), MATCH($B$9, AccuracyTable!$C$1:$AF$1, 0)))</f>
        <v>0.5484</v>
      </c>
      <c r="J20" s="22">
        <f>IF($B$10="","",INDEX(AccuracyTable!$C$2:$AF$31, MATCH($A20, AccuracyTable!$B$2:$B$31, 0), MATCH($B$10, AccuracyTable!$C$1:$AF$1, 0)))</f>
        <v>0.70519999999999994</v>
      </c>
      <c r="K20" s="21">
        <f t="shared" si="3"/>
        <v>6.4389226277372265</v>
      </c>
      <c r="L20" s="21">
        <f t="shared" si="4"/>
        <v>9.2321454014598547</v>
      </c>
      <c r="M20" s="21">
        <f t="shared" si="5"/>
        <v>12.433468905109489</v>
      </c>
      <c r="N20" s="21">
        <f t="shared" si="6"/>
        <v>15.988479708029196</v>
      </c>
    </row>
    <row r="21" spans="1:14" x14ac:dyDescent="0.25">
      <c r="A21" s="8" t="s">
        <v>60</v>
      </c>
      <c r="B21" s="7">
        <f>INDEX(AccuracyTable!$A$2:$A$31, MATCH($A21, AccuracyTable!$B$2:$B$31, 0))</f>
        <v>1268</v>
      </c>
      <c r="C21" s="20">
        <v>0.6</v>
      </c>
      <c r="D21" s="21">
        <f t="shared" si="0"/>
        <v>760.8</v>
      </c>
      <c r="E21" s="22">
        <f t="shared" si="1"/>
        <v>0.18510948905109487</v>
      </c>
      <c r="F21" s="21">
        <f t="shared" si="2"/>
        <v>16.474744525547443</v>
      </c>
      <c r="G21" s="22">
        <f>IF($B$7="","",INDEX(AccuracyTable!$C$2:$AF$31, MATCH($A21, AccuracyTable!$B$2:$B$31, 0), MATCH($B$7, AccuracyTable!$C$1:$AF$1, 0)))</f>
        <v>0.17610000000000001</v>
      </c>
      <c r="H21" s="22">
        <f>IF($B$8="","",INDEX(AccuracyTable!$C$2:$AF$31, MATCH($A21, AccuracyTable!$B$2:$B$31, 0), MATCH($B$8, AccuracyTable!$C$1:$AF$1, 0)))</f>
        <v>0.25790000000000002</v>
      </c>
      <c r="I21" s="22">
        <f>IF($B$9="","",INDEX(AccuracyTable!$C$2:$AF$31, MATCH($A21, AccuracyTable!$B$2:$B$31, 0), MATCH($B$9, AccuracyTable!$C$1:$AF$1, 0)))</f>
        <v>0.36680000000000001</v>
      </c>
      <c r="J21" s="22">
        <f>IF($B$10="","",INDEX(AccuracyTable!$C$2:$AF$31, MATCH($A21, AccuracyTable!$B$2:$B$31, 0), MATCH($B$10, AccuracyTable!$C$1:$AF$1, 0)))</f>
        <v>0.51180000000000003</v>
      </c>
      <c r="K21" s="21">
        <f t="shared" si="3"/>
        <v>2.901202510948905</v>
      </c>
      <c r="L21" s="21">
        <f t="shared" si="4"/>
        <v>4.2488366131386863</v>
      </c>
      <c r="M21" s="21">
        <f t="shared" si="5"/>
        <v>6.0429362919708023</v>
      </c>
      <c r="N21" s="21">
        <f t="shared" si="6"/>
        <v>8.4317742481751825</v>
      </c>
    </row>
    <row r="22" spans="1:14" x14ac:dyDescent="0.25">
      <c r="A22" s="8" t="s">
        <v>61</v>
      </c>
      <c r="B22" s="7">
        <f>INDEX(AccuracyTable!$A$2:$A$31, MATCH($A22, AccuracyTable!$B$2:$B$31, 0))</f>
        <v>2021</v>
      </c>
      <c r="C22" s="20">
        <v>0.3</v>
      </c>
      <c r="D22" s="21">
        <f t="shared" si="0"/>
        <v>606.29999999999995</v>
      </c>
      <c r="E22" s="22">
        <f t="shared" si="1"/>
        <v>0.14751824817518247</v>
      </c>
      <c r="F22" s="21">
        <f t="shared" si="2"/>
        <v>13.12912408759124</v>
      </c>
      <c r="G22" s="22">
        <f>IF($B$7="","",INDEX(AccuracyTable!$C$2:$AF$31, MATCH($A22, AccuracyTable!$B$2:$B$31, 0), MATCH($B$7, AccuracyTable!$C$1:$AF$1, 0)))</f>
        <v>8.8900000000000007E-2</v>
      </c>
      <c r="H22" s="22">
        <f>IF($B$8="","",INDEX(AccuracyTable!$C$2:$AF$31, MATCH($A22, AccuracyTable!$B$2:$B$31, 0), MATCH($B$8, AccuracyTable!$C$1:$AF$1, 0)))</f>
        <v>0.123</v>
      </c>
      <c r="I22" s="22">
        <f>IF($B$9="","",INDEX(AccuracyTable!$C$2:$AF$31, MATCH($A22, AccuracyTable!$B$2:$B$31, 0), MATCH($B$9, AccuracyTable!$C$1:$AF$1, 0)))</f>
        <v>0.18060000000000001</v>
      </c>
      <c r="J22" s="22">
        <f>IF($B$10="","",INDEX(AccuracyTable!$C$2:$AF$31, MATCH($A22, AccuracyTable!$B$2:$B$31, 0), MATCH($B$10, AccuracyTable!$C$1:$AF$1, 0)))</f>
        <v>0.28320000000000001</v>
      </c>
      <c r="K22" s="21">
        <f t="shared" si="3"/>
        <v>1.1671791313868614</v>
      </c>
      <c r="L22" s="21">
        <f t="shared" si="4"/>
        <v>1.6148822627737225</v>
      </c>
      <c r="M22" s="21">
        <f t="shared" si="5"/>
        <v>2.3711198102189779</v>
      </c>
      <c r="N22" s="21">
        <f t="shared" si="6"/>
        <v>3.7181679416058393</v>
      </c>
    </row>
    <row r="23" spans="1:14" x14ac:dyDescent="0.25">
      <c r="A23" s="8" t="s">
        <v>73</v>
      </c>
      <c r="B23" s="7">
        <f>INDEX(AccuracyTable!$A$2:$A$31, MATCH($A23, AccuracyTable!$B$2:$B$31, 0))</f>
        <v>100</v>
      </c>
      <c r="C23" s="20">
        <v>1</v>
      </c>
      <c r="D23" s="21">
        <f t="shared" si="0"/>
        <v>100</v>
      </c>
      <c r="E23" s="22">
        <f t="shared" si="1"/>
        <v>2.4330900243309004E-2</v>
      </c>
      <c r="F23" s="21">
        <f t="shared" si="2"/>
        <v>2.1654501216545015</v>
      </c>
      <c r="G23" s="22">
        <f>IF($B$7="","",INDEX(AccuracyTable!$C$2:$AF$31, MATCH($A23, AccuracyTable!$B$2:$B$31, 0), MATCH($B$7, AccuracyTable!$C$1:$AF$1, 0)))</f>
        <v>0.70030000000000003</v>
      </c>
      <c r="H23" s="22">
        <f>IF($B$8="","",INDEX(AccuracyTable!$C$2:$AF$31, MATCH($A23, AccuracyTable!$B$2:$B$31, 0), MATCH($B$8, AccuracyTable!$C$1:$AF$1, 0)))</f>
        <v>0.87370000000000003</v>
      </c>
      <c r="I23" s="22">
        <f>IF($B$9="","",INDEX(AccuracyTable!$C$2:$AF$31, MATCH($A23, AccuracyTable!$B$2:$B$31, 0), MATCH($B$9, AccuracyTable!$C$1:$AF$1, 0)))</f>
        <v>0.9405</v>
      </c>
      <c r="J23" s="22">
        <f>IF($B$10="","",INDEX(AccuracyTable!$C$2:$AF$31, MATCH($A23, AccuracyTable!$B$2:$B$31, 0), MATCH($B$10, AccuracyTable!$C$1:$AF$1, 0)))</f>
        <v>0.94989999999999997</v>
      </c>
      <c r="K23" s="21">
        <f t="shared" si="3"/>
        <v>1.5164647201946475</v>
      </c>
      <c r="L23" s="21">
        <f t="shared" si="4"/>
        <v>1.891953771289538</v>
      </c>
      <c r="M23" s="21">
        <f t="shared" si="5"/>
        <v>2.0366058394160587</v>
      </c>
      <c r="N23" s="21">
        <f t="shared" si="6"/>
        <v>2.0569610705596109</v>
      </c>
    </row>
    <row r="24" spans="1:14" x14ac:dyDescent="0.25">
      <c r="A24" s="8" t="s">
        <v>74</v>
      </c>
      <c r="B24" s="7">
        <f>INDEX(AccuracyTable!$A$2:$A$31, MATCH($A24, AccuracyTable!$B$2:$B$31, 0))</f>
        <v>314</v>
      </c>
      <c r="C24" s="20">
        <v>0.8</v>
      </c>
      <c r="D24" s="21">
        <f t="shared" si="0"/>
        <v>251.20000000000002</v>
      </c>
      <c r="E24" s="22">
        <f t="shared" si="1"/>
        <v>6.1119221411192221E-2</v>
      </c>
      <c r="F24" s="21">
        <f t="shared" si="2"/>
        <v>5.4396107055961078</v>
      </c>
      <c r="G24" s="22">
        <f>IF($B$7="","",INDEX(AccuracyTable!$C$2:$AF$31, MATCH($A24, AccuracyTable!$B$2:$B$31, 0), MATCH($B$7, AccuracyTable!$C$1:$AF$1, 0)))</f>
        <v>0.45159999999999989</v>
      </c>
      <c r="H24" s="22">
        <f>IF($B$8="","",INDEX(AccuracyTable!$C$2:$AF$31, MATCH($A24, AccuracyTable!$B$2:$B$31, 0), MATCH($B$8, AccuracyTable!$C$1:$AF$1, 0)))</f>
        <v>0.6714</v>
      </c>
      <c r="I24" s="22">
        <f>IF($B$9="","",INDEX(AccuracyTable!$C$2:$AF$31, MATCH($A24, AccuracyTable!$B$2:$B$31, 0), MATCH($B$9, AccuracyTable!$C$1:$AF$1, 0)))</f>
        <v>0.8538</v>
      </c>
      <c r="J24" s="22">
        <f>IF($B$10="","",INDEX(AccuracyTable!$C$2:$AF$31, MATCH($A24, AccuracyTable!$B$2:$B$31, 0), MATCH($B$10, AccuracyTable!$C$1:$AF$1, 0)))</f>
        <v>0.93859999999999999</v>
      </c>
      <c r="K24" s="21">
        <f t="shared" si="3"/>
        <v>2.4565281946472015</v>
      </c>
      <c r="L24" s="21">
        <f t="shared" si="4"/>
        <v>3.652154627737227</v>
      </c>
      <c r="M24" s="21">
        <f t="shared" si="5"/>
        <v>4.6443396204379566</v>
      </c>
      <c r="N24" s="21">
        <f t="shared" si="6"/>
        <v>5.1056186082725068</v>
      </c>
    </row>
    <row r="25" spans="1:14" x14ac:dyDescent="0.25">
      <c r="A25" s="8" t="s">
        <v>75</v>
      </c>
      <c r="B25" s="7">
        <f>INDEX(AccuracyTable!$A$2:$A$31, MATCH($A25, AccuracyTable!$B$2:$B$31, 0))</f>
        <v>909</v>
      </c>
      <c r="C25" s="20">
        <v>0.5</v>
      </c>
      <c r="D25" s="21">
        <f t="shared" si="0"/>
        <v>454.5</v>
      </c>
      <c r="E25" s="22">
        <f t="shared" si="1"/>
        <v>0.11058394160583941</v>
      </c>
      <c r="F25" s="21">
        <f t="shared" si="2"/>
        <v>9.8419708029197075</v>
      </c>
      <c r="G25" s="22">
        <f>IF($B$7="","",INDEX(AccuracyTable!$C$2:$AF$31, MATCH($A25, AccuracyTable!$B$2:$B$31, 0), MATCH($B$7, AccuracyTable!$C$1:$AF$1, 0)))</f>
        <v>0.24970000000000001</v>
      </c>
      <c r="H25" s="22">
        <f>IF($B$8="","",INDEX(AccuracyTable!$C$2:$AF$31, MATCH($A25, AccuracyTable!$B$2:$B$31, 0), MATCH($B$8, AccuracyTable!$C$1:$AF$1, 0)))</f>
        <v>0.40849999999999997</v>
      </c>
      <c r="I25" s="22">
        <f>IF($B$9="","",INDEX(AccuracyTable!$C$2:$AF$31, MATCH($A25, AccuracyTable!$B$2:$B$31, 0), MATCH($B$9, AccuracyTable!$C$1:$AF$1, 0)))</f>
        <v>0.62119999999999997</v>
      </c>
      <c r="J25" s="22">
        <f>IF($B$10="","",INDEX(AccuracyTable!$C$2:$AF$31, MATCH($A25, AccuracyTable!$B$2:$B$31, 0), MATCH($B$10, AccuracyTable!$C$1:$AF$1, 0)))</f>
        <v>0.83879999999999999</v>
      </c>
      <c r="K25" s="21">
        <f t="shared" si="3"/>
        <v>2.457540109489051</v>
      </c>
      <c r="L25" s="21">
        <f t="shared" si="4"/>
        <v>4.0204450729927004</v>
      </c>
      <c r="M25" s="21">
        <f t="shared" si="5"/>
        <v>6.1138322627737223</v>
      </c>
      <c r="N25" s="21">
        <f t="shared" si="6"/>
        <v>8.2554451094890506</v>
      </c>
    </row>
    <row r="26" spans="1:14" x14ac:dyDescent="0.25">
      <c r="A26" s="23" t="s">
        <v>122</v>
      </c>
      <c r="D26" s="24">
        <f>SUM($D$18:$D$25)</f>
        <v>4110</v>
      </c>
      <c r="E26" s="25">
        <f>SUM($E$18:$E$25)</f>
        <v>0.99999999999999989</v>
      </c>
      <c r="F26" s="24">
        <f>SUM($F$18:$F$25)</f>
        <v>89</v>
      </c>
      <c r="K26" s="24">
        <f>SUM($K$18:$K$25)</f>
        <v>27.751374107055963</v>
      </c>
      <c r="L26" s="24">
        <f>SUM($L$18:$L$25)</f>
        <v>38.009164819951337</v>
      </c>
      <c r="M26" s="24">
        <f>SUM($M$18:$M$25)</f>
        <v>49.133460832116789</v>
      </c>
      <c r="N26" s="24">
        <f>SUM($N$18:$N$25)</f>
        <v>60.71112176155718</v>
      </c>
    </row>
    <row r="28" spans="1:14" ht="30" x14ac:dyDescent="0.25">
      <c r="A28" s="17" t="s">
        <v>123</v>
      </c>
      <c r="K28" s="21">
        <f>IF($B$7="","",SUMPRODUCT($F$18:$F$25,$G$18:$G$25,(1-$G$18:$G$25)))</f>
        <v>16.207521304928949</v>
      </c>
      <c r="L28" s="21">
        <f>IF($B$8="","",SUMPRODUCT($F$18:$F$25,$H$18:$H$25,(1-$H$18:$H$25)))</f>
        <v>17.774166285657664</v>
      </c>
      <c r="M28" s="21">
        <f>IF($B$9="","",SUMPRODUCT($F$18:$F$25,$I$18:$I$25,(1-$I$18:$I$25)))</f>
        <v>17.451031722654015</v>
      </c>
      <c r="N28" s="21">
        <f>IF($B$10="","",SUMPRODUCT($F$18:$F$25,$J$18:$J$25,(1-$J$18:$J$25)))</f>
        <v>15.111764025942581</v>
      </c>
    </row>
    <row r="29" spans="1:14" ht="30" x14ac:dyDescent="0.25">
      <c r="A29" s="17" t="s">
        <v>124</v>
      </c>
      <c r="K29" s="21">
        <f>IF($B$7="","",SQRT(K28))</f>
        <v>4.0258565926929082</v>
      </c>
      <c r="L29" s="21">
        <f>IF($B$8="","",SQRT(L28))</f>
        <v>4.2159419215233109</v>
      </c>
      <c r="M29" s="21">
        <f>IF($B$9="","",SQRT(M28))</f>
        <v>4.1774432040009852</v>
      </c>
      <c r="N29" s="21">
        <f>IF($B$10="","",SQRT(N28))</f>
        <v>3.8873852428004327</v>
      </c>
    </row>
  </sheetData>
  <mergeCells count="4">
    <mergeCell ref="A3:C3"/>
    <mergeCell ref="D3:N3"/>
    <mergeCell ref="A6:C6"/>
    <mergeCell ref="A1:N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29"/>
  <sheetViews>
    <sheetView showGridLines="0" zoomScale="175" zoomScaleNormal="175" workbookViewId="0">
      <selection activeCell="A6" sqref="A6:C6"/>
    </sheetView>
  </sheetViews>
  <sheetFormatPr defaultRowHeight="15" x14ac:dyDescent="0.25"/>
  <cols>
    <col min="1" max="1" width="10" customWidth="1"/>
    <col min="2" max="2" width="8" customWidth="1"/>
    <col min="3" max="5" width="12" customWidth="1"/>
    <col min="6" max="6" width="13" customWidth="1"/>
    <col min="7" max="10" width="12" customWidth="1"/>
    <col min="11" max="14" width="14" customWidth="1"/>
  </cols>
  <sheetData>
    <row r="1" spans="1:14" x14ac:dyDescent="0.25">
      <c r="A1" s="32" t="s">
        <v>128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</row>
    <row r="3" spans="1:14" x14ac:dyDescent="0.25">
      <c r="A3" s="27" t="s">
        <v>86</v>
      </c>
      <c r="B3" s="28"/>
      <c r="C3" s="28"/>
      <c r="D3" s="27" t="s">
        <v>87</v>
      </c>
      <c r="E3" s="28"/>
      <c r="F3" s="28"/>
      <c r="G3" s="28"/>
      <c r="H3" s="28"/>
      <c r="I3" s="28"/>
      <c r="J3" s="28"/>
      <c r="K3" s="28"/>
      <c r="L3" s="28"/>
      <c r="M3" s="28"/>
      <c r="N3" s="28"/>
    </row>
    <row r="4" spans="1:14" ht="75" x14ac:dyDescent="0.25">
      <c r="A4" t="s">
        <v>88</v>
      </c>
      <c r="B4" s="10">
        <v>5</v>
      </c>
      <c r="D4" s="1" t="s">
        <v>89</v>
      </c>
      <c r="E4" s="11">
        <f>M26</f>
        <v>59.142631764087795</v>
      </c>
    </row>
    <row r="5" spans="1:14" ht="60" x14ac:dyDescent="0.25">
      <c r="A5" t="s">
        <v>90</v>
      </c>
      <c r="B5" s="12">
        <v>98</v>
      </c>
      <c r="D5" s="1" t="s">
        <v>91</v>
      </c>
      <c r="E5" s="13">
        <f>ROUNDUP($E$4,0)</f>
        <v>60</v>
      </c>
    </row>
    <row r="6" spans="1:14" x14ac:dyDescent="0.25">
      <c r="A6" s="31" t="s">
        <v>92</v>
      </c>
      <c r="B6" s="28"/>
      <c r="C6" s="28"/>
    </row>
    <row r="7" spans="1:14" ht="30" x14ac:dyDescent="0.25">
      <c r="A7" t="s">
        <v>93</v>
      </c>
      <c r="B7" s="14">
        <f>IF(OR($B$4-1&lt;0.5,$B$4-1&gt;15),"",$B$4-1)</f>
        <v>4</v>
      </c>
      <c r="D7" s="1" t="s">
        <v>94</v>
      </c>
      <c r="E7" s="15">
        <f>IF($B$7="",-1,IF(K29=0,IF(K26&gt;=$E$5,1,0),1-_xlfn.NORM.DIST($E$5-0.5,K26,K29,TRUE)))</f>
        <v>1.4634328193707802E-9</v>
      </c>
    </row>
    <row r="8" spans="1:14" ht="45" x14ac:dyDescent="0.25">
      <c r="A8" t="s">
        <v>95</v>
      </c>
      <c r="B8" s="14">
        <f>IF(OR($B$4-0.5&lt;0.5,$B$4-0.5&gt;15),"",$B$4-0.5)</f>
        <v>4.5</v>
      </c>
      <c r="D8" s="1" t="s">
        <v>96</v>
      </c>
      <c r="E8" s="15">
        <f>IF($B$8="",-1,IF(L29=0,IF(L26&gt;=$E$5,1,0),1-_xlfn.NORM.DIST($E$5-0.5,L26,L29,TRUE)))</f>
        <v>1.7474655104973147E-3</v>
      </c>
    </row>
    <row r="9" spans="1:14" ht="30" x14ac:dyDescent="0.25">
      <c r="A9" t="s">
        <v>97</v>
      </c>
      <c r="B9" s="14">
        <f>$B$4</f>
        <v>5</v>
      </c>
      <c r="D9" s="1" t="s">
        <v>98</v>
      </c>
      <c r="E9" s="15">
        <f>IF($B$9="",-1,IF(M29=0,IF(M26&gt;=$E$5,1,0),1-_xlfn.NORM.DIST($E$5-0.5,M26,M29,TRUE)))</f>
        <v>0.46622694642118956</v>
      </c>
    </row>
    <row r="10" spans="1:14" ht="45" x14ac:dyDescent="0.25">
      <c r="A10" t="s">
        <v>99</v>
      </c>
      <c r="B10" s="14">
        <f>IF(OR($B$4+0.5&lt;0.5,$B$4+0.5&gt;15),"",$B$4+0.5)</f>
        <v>5.5</v>
      </c>
      <c r="D10" s="1" t="s">
        <v>100</v>
      </c>
      <c r="E10" s="15">
        <f>IF($B$10="",-1,IF(N29=0,IF(N26&gt;=$E$5,1,0),1-_xlfn.NORM.DIST($E$5-0.5,N26,N29,TRUE)))</f>
        <v>0.9959069134917784</v>
      </c>
    </row>
    <row r="11" spans="1:14" x14ac:dyDescent="0.25">
      <c r="E11" s="16" t="s">
        <v>101</v>
      </c>
      <c r="F11" s="16" t="s">
        <v>102</v>
      </c>
      <c r="G11" s="16" t="s">
        <v>103</v>
      </c>
      <c r="H11" s="16" t="s">
        <v>104</v>
      </c>
    </row>
    <row r="12" spans="1:14" ht="30" x14ac:dyDescent="0.25">
      <c r="D12" s="17" t="s">
        <v>105</v>
      </c>
      <c r="E12" s="18">
        <f>IF($B$7="","",K26)</f>
        <v>34.539071513739465</v>
      </c>
      <c r="F12" s="18">
        <f>IF($B$8="","",L26)</f>
        <v>46.947416985312586</v>
      </c>
      <c r="G12" s="18">
        <f>IF($B$9="","",M26)</f>
        <v>59.142631764087795</v>
      </c>
      <c r="H12" s="18">
        <f>IF($B$10="","",N26)</f>
        <v>70.066122442266845</v>
      </c>
    </row>
    <row r="13" spans="1:14" x14ac:dyDescent="0.25">
      <c r="D13" s="17" t="s">
        <v>106</v>
      </c>
      <c r="E13" s="19">
        <f>IF($B$7="","",K26/$B$5)</f>
        <v>0.35243950524223944</v>
      </c>
      <c r="F13" s="19">
        <f>IF($B$8="","",L26/$B$5)</f>
        <v>0.47905527536033249</v>
      </c>
      <c r="G13" s="19">
        <f>IF($B$9="","",M26/$B$5)</f>
        <v>0.60349624249069178</v>
      </c>
      <c r="H13" s="19">
        <f>IF($B$10="","",N26/$B$5)</f>
        <v>0.71496043308435553</v>
      </c>
    </row>
    <row r="14" spans="1:14" ht="30" x14ac:dyDescent="0.25">
      <c r="D14" s="17" t="s">
        <v>107</v>
      </c>
      <c r="E14" s="18">
        <f>IF($B$7="","",K29)</f>
        <v>4.2052572974117037</v>
      </c>
      <c r="F14" s="18">
        <f>IF($B$8="","",L29)</f>
        <v>4.2981238795362495</v>
      </c>
      <c r="G14" s="18">
        <f>IF($B$9="","",M29)</f>
        <v>4.2163431252260173</v>
      </c>
      <c r="H14" s="18">
        <f>IF($B$10="","",N29)</f>
        <v>3.9958211677823279</v>
      </c>
    </row>
    <row r="17" spans="1:14" ht="30" x14ac:dyDescent="0.25">
      <c r="A17" s="3" t="s">
        <v>108</v>
      </c>
      <c r="B17" s="3" t="s">
        <v>109</v>
      </c>
      <c r="C17" s="3" t="s">
        <v>110</v>
      </c>
      <c r="D17" s="3" t="s">
        <v>111</v>
      </c>
      <c r="E17" s="3" t="s">
        <v>112</v>
      </c>
      <c r="F17" s="3" t="s">
        <v>113</v>
      </c>
      <c r="G17" s="3" t="s">
        <v>114</v>
      </c>
      <c r="H17" s="3" t="s">
        <v>115</v>
      </c>
      <c r="I17" s="3" t="s">
        <v>116</v>
      </c>
      <c r="J17" s="3" t="s">
        <v>117</v>
      </c>
      <c r="K17" s="3" t="s">
        <v>118</v>
      </c>
      <c r="L17" s="3" t="s">
        <v>119</v>
      </c>
      <c r="M17" s="3" t="s">
        <v>120</v>
      </c>
      <c r="N17" s="3" t="s">
        <v>121</v>
      </c>
    </row>
    <row r="18" spans="1:14" x14ac:dyDescent="0.25">
      <c r="A18" s="8" t="s">
        <v>58</v>
      </c>
      <c r="B18" s="7">
        <f>INDEX(AccuracyTable!$A$2:$A$31, MATCH($A18, AccuracyTable!$B$2:$B$31, 0))</f>
        <v>534</v>
      </c>
      <c r="C18" s="20">
        <v>1</v>
      </c>
      <c r="D18" s="21">
        <f t="shared" ref="D18:D25" si="0">B18*C18</f>
        <v>534</v>
      </c>
      <c r="E18" s="22">
        <f t="shared" ref="E18:E25" si="1">D18/SUM($D$18:$D$25)</f>
        <v>6.098814500102788E-2</v>
      </c>
      <c r="F18" s="21">
        <f t="shared" ref="F18:F25" si="2">$B$5*E18</f>
        <v>5.9768382101007322</v>
      </c>
      <c r="G18" s="22">
        <f>IF($B$7="","",INDEX(AccuracyTable!$C$2:$AF$31, MATCH($A18, AccuracyTable!$B$2:$B$31, 0), MATCH($B$7, AccuracyTable!$C$1:$AF$1, 0)))</f>
        <v>0.76700000000000002</v>
      </c>
      <c r="H18" s="22">
        <f>IF($B$8="","",INDEX(AccuracyTable!$C$2:$AF$31, MATCH($A18, AccuracyTable!$B$2:$B$31, 0), MATCH($B$8, AccuracyTable!$C$1:$AF$1, 0)))</f>
        <v>0.87319999999999998</v>
      </c>
      <c r="I18" s="22">
        <f>IF($B$9="","",INDEX(AccuracyTable!$C$2:$AF$31, MATCH($A18, AccuracyTable!$B$2:$B$31, 0), MATCH($B$9, AccuracyTable!$C$1:$AF$1, 0)))</f>
        <v>0.93010000000000004</v>
      </c>
      <c r="J18" s="22">
        <f>IF($B$10="","",INDEX(AccuracyTable!$C$2:$AF$31, MATCH($A18, AccuracyTable!$B$2:$B$31, 0), MATCH($B$10, AccuracyTable!$C$1:$AF$1, 0)))</f>
        <v>0.94840000000000002</v>
      </c>
      <c r="K18" s="21">
        <f t="shared" ref="K18:K25" si="3">IF($B$7="","",F18*G18)</f>
        <v>4.5842349071472617</v>
      </c>
      <c r="L18" s="21">
        <f t="shared" ref="L18:L25" si="4">IF($B$8="","",F18*H18)</f>
        <v>5.2189751250599592</v>
      </c>
      <c r="M18" s="21">
        <f t="shared" ref="M18:M25" si="5">IF($B$9="","",F18*I18)</f>
        <v>5.559057219214691</v>
      </c>
      <c r="N18" s="21">
        <f t="shared" ref="N18:N25" si="6">IF($B$10="","",F18*J18)</f>
        <v>5.6684333584595343</v>
      </c>
    </row>
    <row r="19" spans="1:14" x14ac:dyDescent="0.25">
      <c r="A19" s="8" t="s">
        <v>59</v>
      </c>
      <c r="B19" s="7">
        <f>INDEX(AccuracyTable!$A$2:$A$31, MATCH($A19, AccuracyTable!$B$2:$B$31, 0))</f>
        <v>698</v>
      </c>
      <c r="C19" s="20">
        <v>1.3</v>
      </c>
      <c r="D19" s="21">
        <f t="shared" si="0"/>
        <v>907.4</v>
      </c>
      <c r="E19" s="22">
        <f t="shared" si="1"/>
        <v>0.10363416249800131</v>
      </c>
      <c r="F19" s="21">
        <f t="shared" si="2"/>
        <v>10.156147924804129</v>
      </c>
      <c r="G19" s="22">
        <f>IF($B$7="","",INDEX(AccuracyTable!$C$2:$AF$31, MATCH($A19, AccuracyTable!$B$2:$B$31, 0), MATCH($B$7, AccuracyTable!$C$1:$AF$1, 0)))</f>
        <v>0.5484</v>
      </c>
      <c r="H19" s="22">
        <f>IF($B$8="","",INDEX(AccuracyTable!$C$2:$AF$31, MATCH($A19, AccuracyTable!$B$2:$B$31, 0), MATCH($B$8, AccuracyTable!$C$1:$AF$1, 0)))</f>
        <v>0.70519999999999994</v>
      </c>
      <c r="I19" s="22">
        <f>IF($B$9="","",INDEX(AccuracyTable!$C$2:$AF$31, MATCH($A19, AccuracyTable!$B$2:$B$31, 0), MATCH($B$9, AccuracyTable!$C$1:$AF$1, 0)))</f>
        <v>0.83329999999999993</v>
      </c>
      <c r="J19" s="22">
        <f>IF($B$10="","",INDEX(AccuracyTable!$C$2:$AF$31, MATCH($A19, AccuracyTable!$B$2:$B$31, 0), MATCH($B$10, AccuracyTable!$C$1:$AF$1, 0)))</f>
        <v>0.91709999999999992</v>
      </c>
      <c r="K19" s="21">
        <f t="shared" si="3"/>
        <v>5.5696315219625845</v>
      </c>
      <c r="L19" s="21">
        <f t="shared" si="4"/>
        <v>7.1621155165718715</v>
      </c>
      <c r="M19" s="21">
        <f t="shared" si="5"/>
        <v>8.4631180657392804</v>
      </c>
      <c r="N19" s="21">
        <f t="shared" si="6"/>
        <v>9.3142032618378661</v>
      </c>
    </row>
    <row r="20" spans="1:14" x14ac:dyDescent="0.25">
      <c r="A20" s="8" t="s">
        <v>60</v>
      </c>
      <c r="B20" s="7">
        <f>INDEX(AccuracyTable!$A$2:$A$31, MATCH($A20, AccuracyTable!$B$2:$B$31, 0))</f>
        <v>1268</v>
      </c>
      <c r="C20" s="20">
        <v>1.5</v>
      </c>
      <c r="D20" s="21">
        <f t="shared" si="0"/>
        <v>1902</v>
      </c>
      <c r="E20" s="22">
        <f t="shared" si="1"/>
        <v>0.21722743781264989</v>
      </c>
      <c r="F20" s="21">
        <f t="shared" si="2"/>
        <v>21.288288905639689</v>
      </c>
      <c r="G20" s="22">
        <f>IF($B$7="","",INDEX(AccuracyTable!$C$2:$AF$31, MATCH($A20, AccuracyTable!$B$2:$B$31, 0), MATCH($B$7, AccuracyTable!$C$1:$AF$1, 0)))</f>
        <v>0.36680000000000001</v>
      </c>
      <c r="H20" s="22">
        <f>IF($B$8="","",INDEX(AccuracyTable!$C$2:$AF$31, MATCH($A20, AccuracyTable!$B$2:$B$31, 0), MATCH($B$8, AccuracyTable!$C$1:$AF$1, 0)))</f>
        <v>0.51180000000000003</v>
      </c>
      <c r="I20" s="22">
        <f>IF($B$9="","",INDEX(AccuracyTable!$C$2:$AF$31, MATCH($A20, AccuracyTable!$B$2:$B$31, 0), MATCH($B$9, AccuracyTable!$C$1:$AF$1, 0)))</f>
        <v>0.65639999999999998</v>
      </c>
      <c r="J20" s="22">
        <f>IF($B$10="","",INDEX(AccuracyTable!$C$2:$AF$31, MATCH($A20, AccuracyTable!$B$2:$B$31, 0), MATCH($B$10, AccuracyTable!$C$1:$AF$1, 0)))</f>
        <v>0.78709999999999991</v>
      </c>
      <c r="K20" s="21">
        <f t="shared" si="3"/>
        <v>7.8085443705886384</v>
      </c>
      <c r="L20" s="21">
        <f t="shared" si="4"/>
        <v>10.895346261906393</v>
      </c>
      <c r="M20" s="21">
        <f t="shared" si="5"/>
        <v>13.973632837661892</v>
      </c>
      <c r="N20" s="21">
        <f t="shared" si="6"/>
        <v>16.756012197628998</v>
      </c>
    </row>
    <row r="21" spans="1:14" x14ac:dyDescent="0.25">
      <c r="A21" s="8" t="s">
        <v>61</v>
      </c>
      <c r="B21" s="7">
        <f>INDEX(AccuracyTable!$A$2:$A$31, MATCH($A21, AccuracyTable!$B$2:$B$31, 0))</f>
        <v>2021</v>
      </c>
      <c r="C21" s="20">
        <v>1.2</v>
      </c>
      <c r="D21" s="21">
        <f t="shared" si="0"/>
        <v>2425.1999999999998</v>
      </c>
      <c r="E21" s="22">
        <f t="shared" si="1"/>
        <v>0.27698211471253337</v>
      </c>
      <c r="F21" s="21">
        <f t="shared" si="2"/>
        <v>27.144247241828271</v>
      </c>
      <c r="G21" s="22">
        <f>IF($B$7="","",INDEX(AccuracyTable!$C$2:$AF$31, MATCH($A21, AccuracyTable!$B$2:$B$31, 0), MATCH($B$7, AccuracyTable!$C$1:$AF$1, 0)))</f>
        <v>0.18060000000000001</v>
      </c>
      <c r="H21" s="22">
        <f>IF($B$8="","",INDEX(AccuracyTable!$C$2:$AF$31, MATCH($A21, AccuracyTable!$B$2:$B$31, 0), MATCH($B$8, AccuracyTable!$C$1:$AF$1, 0)))</f>
        <v>0.28320000000000001</v>
      </c>
      <c r="I21" s="22">
        <f>IF($B$9="","",INDEX(AccuracyTable!$C$2:$AF$31, MATCH($A21, AccuracyTable!$B$2:$B$31, 0), MATCH($B$9, AccuracyTable!$C$1:$AF$1, 0)))</f>
        <v>0.41970000000000002</v>
      </c>
      <c r="J21" s="22">
        <f>IF($B$10="","",INDEX(AccuracyTable!$C$2:$AF$31, MATCH($A21, AccuracyTable!$B$2:$B$31, 0), MATCH($B$10, AccuracyTable!$C$1:$AF$1, 0)))</f>
        <v>0.56930000000000003</v>
      </c>
      <c r="K21" s="21">
        <f t="shared" si="3"/>
        <v>4.9022510518741864</v>
      </c>
      <c r="L21" s="21">
        <f t="shared" si="4"/>
        <v>7.6872508188857669</v>
      </c>
      <c r="M21" s="21">
        <f t="shared" si="5"/>
        <v>11.392440567395326</v>
      </c>
      <c r="N21" s="21">
        <f t="shared" si="6"/>
        <v>15.453219954772836</v>
      </c>
    </row>
    <row r="22" spans="1:14" x14ac:dyDescent="0.25">
      <c r="A22" s="8" t="s">
        <v>62</v>
      </c>
      <c r="B22" s="7">
        <f>INDEX(AccuracyTable!$A$2:$A$31, MATCH($A22, AccuracyTable!$B$2:$B$31, 0))</f>
        <v>2806</v>
      </c>
      <c r="C22" s="20">
        <v>0.5</v>
      </c>
      <c r="D22" s="21">
        <f t="shared" si="0"/>
        <v>1403</v>
      </c>
      <c r="E22" s="22">
        <f t="shared" si="1"/>
        <v>0.16023664313940472</v>
      </c>
      <c r="F22" s="21">
        <f t="shared" si="2"/>
        <v>15.703191027661664</v>
      </c>
      <c r="G22" s="22">
        <f>IF($B$7="","",INDEX(AccuracyTable!$C$2:$AF$31, MATCH($A22, AccuracyTable!$B$2:$B$31, 0), MATCH($B$7, AccuracyTable!$C$1:$AF$1, 0)))</f>
        <v>0.10199999999999999</v>
      </c>
      <c r="H22" s="22">
        <f>IF($B$8="","",INDEX(AccuracyTable!$C$2:$AF$31, MATCH($A22, AccuracyTable!$B$2:$B$31, 0), MATCH($B$8, AccuracyTable!$C$1:$AF$1, 0)))</f>
        <v>0.15629999999999999</v>
      </c>
      <c r="I22" s="22">
        <f>IF($B$9="","",INDEX(AccuracyTable!$C$2:$AF$31, MATCH($A22, AccuracyTable!$B$2:$B$31, 0), MATCH($B$9, AccuracyTable!$C$1:$AF$1, 0)))</f>
        <v>0.24990000000000001</v>
      </c>
      <c r="J22" s="22">
        <f>IF($B$10="","",INDEX(AccuracyTable!$C$2:$AF$31, MATCH($A22, AccuracyTable!$B$2:$B$31, 0), MATCH($B$10, AccuracyTable!$C$1:$AF$1, 0)))</f>
        <v>0.39100000000000001</v>
      </c>
      <c r="K22" s="21">
        <f t="shared" si="3"/>
        <v>1.6017254848214897</v>
      </c>
      <c r="L22" s="21">
        <f t="shared" si="4"/>
        <v>2.4544087576235181</v>
      </c>
      <c r="M22" s="21">
        <f t="shared" si="5"/>
        <v>3.9242274378126498</v>
      </c>
      <c r="N22" s="21">
        <f t="shared" si="6"/>
        <v>6.1399476918157108</v>
      </c>
    </row>
    <row r="23" spans="1:14" x14ac:dyDescent="0.25">
      <c r="A23" s="8" t="s">
        <v>74</v>
      </c>
      <c r="B23" s="7">
        <f>INDEX(AccuracyTable!$A$2:$A$31, MATCH($A23, AccuracyTable!$B$2:$B$31, 0))</f>
        <v>314</v>
      </c>
      <c r="C23" s="20">
        <v>1</v>
      </c>
      <c r="D23" s="21">
        <f t="shared" si="0"/>
        <v>314</v>
      </c>
      <c r="E23" s="22">
        <f t="shared" si="1"/>
        <v>3.586194294067932E-2</v>
      </c>
      <c r="F23" s="21">
        <f t="shared" si="2"/>
        <v>3.5144704081865732</v>
      </c>
      <c r="G23" s="22">
        <f>IF($B$7="","",INDEX(AccuracyTable!$C$2:$AF$31, MATCH($A23, AccuracyTable!$B$2:$B$31, 0), MATCH($B$7, AccuracyTable!$C$1:$AF$1, 0)))</f>
        <v>0.8538</v>
      </c>
      <c r="H23" s="22">
        <f>IF($B$8="","",INDEX(AccuracyTable!$C$2:$AF$31, MATCH($A23, AccuracyTable!$B$2:$B$31, 0), MATCH($B$8, AccuracyTable!$C$1:$AF$1, 0)))</f>
        <v>0.93859999999999999</v>
      </c>
      <c r="I23" s="22">
        <f>IF($B$9="","",INDEX(AccuracyTable!$C$2:$AF$31, MATCH($A23, AccuracyTable!$B$2:$B$31, 0), MATCH($B$9, AccuracyTable!$C$1:$AF$1, 0)))</f>
        <v>0.94980000000000009</v>
      </c>
      <c r="J23" s="22">
        <f>IF($B$10="","",INDEX(AccuracyTable!$C$2:$AF$31, MATCH($A23, AccuracyTable!$B$2:$B$31, 0), MATCH($B$10, AccuracyTable!$C$1:$AF$1, 0)))</f>
        <v>0.95</v>
      </c>
      <c r="K23" s="21">
        <f t="shared" si="3"/>
        <v>3.0006548345096964</v>
      </c>
      <c r="L23" s="21">
        <f t="shared" si="4"/>
        <v>3.2986819251239177</v>
      </c>
      <c r="M23" s="21">
        <f t="shared" si="5"/>
        <v>3.3380439936956074</v>
      </c>
      <c r="N23" s="21">
        <f t="shared" si="6"/>
        <v>3.3387468877772442</v>
      </c>
    </row>
    <row r="24" spans="1:14" x14ac:dyDescent="0.25">
      <c r="A24" s="8" t="s">
        <v>75</v>
      </c>
      <c r="B24" s="7">
        <f>INDEX(AccuracyTable!$A$2:$A$31, MATCH($A24, AccuracyTable!$B$2:$B$31, 0))</f>
        <v>909</v>
      </c>
      <c r="C24" s="20">
        <v>0.8</v>
      </c>
      <c r="D24" s="21">
        <f t="shared" si="0"/>
        <v>727.2</v>
      </c>
      <c r="E24" s="22">
        <f t="shared" si="1"/>
        <v>8.3053518810388541E-2</v>
      </c>
      <c r="F24" s="21">
        <f t="shared" si="2"/>
        <v>8.1392448434180764</v>
      </c>
      <c r="G24" s="22">
        <f>IF($B$7="","",INDEX(AccuracyTable!$C$2:$AF$31, MATCH($A24, AccuracyTable!$B$2:$B$31, 0), MATCH($B$7, AccuracyTable!$C$1:$AF$1, 0)))</f>
        <v>0.62119999999999997</v>
      </c>
      <c r="H24" s="22">
        <f>IF($B$8="","",INDEX(AccuracyTable!$C$2:$AF$31, MATCH($A24, AccuracyTable!$B$2:$B$31, 0), MATCH($B$8, AccuracyTable!$C$1:$AF$1, 0)))</f>
        <v>0.83879999999999999</v>
      </c>
      <c r="I24" s="22">
        <f>IF($B$9="","",INDEX(AccuracyTable!$C$2:$AF$31, MATCH($A24, AccuracyTable!$B$2:$B$31, 0), MATCH($B$9, AccuracyTable!$C$1:$AF$1, 0)))</f>
        <v>0.93519999999999992</v>
      </c>
      <c r="J24" s="22">
        <f>IF($B$10="","",INDEX(AccuracyTable!$C$2:$AF$31, MATCH($A24, AccuracyTable!$B$2:$B$31, 0), MATCH($B$10, AccuracyTable!$C$1:$AF$1, 0)))</f>
        <v>0.94980000000000009</v>
      </c>
      <c r="K24" s="21">
        <f t="shared" si="3"/>
        <v>5.0560988967313092</v>
      </c>
      <c r="L24" s="21">
        <f t="shared" si="4"/>
        <v>6.8271985746590822</v>
      </c>
      <c r="M24" s="21">
        <f t="shared" si="5"/>
        <v>7.6118217775645842</v>
      </c>
      <c r="N24" s="21">
        <f t="shared" si="6"/>
        <v>7.7306547522784896</v>
      </c>
    </row>
    <row r="25" spans="1:14" x14ac:dyDescent="0.25">
      <c r="A25" s="8" t="s">
        <v>76</v>
      </c>
      <c r="B25" s="7">
        <f>INDEX(AccuracyTable!$A$2:$A$31, MATCH($A25, AccuracyTable!$B$2:$B$31, 0))</f>
        <v>1086</v>
      </c>
      <c r="C25" s="20">
        <v>0.5</v>
      </c>
      <c r="D25" s="21">
        <f t="shared" si="0"/>
        <v>543</v>
      </c>
      <c r="E25" s="22">
        <f t="shared" si="1"/>
        <v>6.201603508531487E-2</v>
      </c>
      <c r="F25" s="21">
        <f t="shared" si="2"/>
        <v>6.0775714383608577</v>
      </c>
      <c r="G25" s="22">
        <f>IF($B$7="","",INDEX(AccuracyTable!$C$2:$AF$31, MATCH($A25, AccuracyTable!$B$2:$B$31, 0), MATCH($B$7, AccuracyTable!$C$1:$AF$1, 0)))</f>
        <v>0.33169999999999999</v>
      </c>
      <c r="H25" s="22">
        <f>IF($B$8="","",INDEX(AccuracyTable!$C$2:$AF$31, MATCH($A25, AccuracyTable!$B$2:$B$31, 0), MATCH($B$8, AccuracyTable!$C$1:$AF$1, 0)))</f>
        <v>0.56000000000000005</v>
      </c>
      <c r="I25" s="22">
        <f>IF($B$9="","",INDEX(AccuracyTable!$C$2:$AF$31, MATCH($A25, AccuracyTable!$B$2:$B$31, 0), MATCH($B$9, AccuracyTable!$C$1:$AF$1, 0)))</f>
        <v>0.80299999999999994</v>
      </c>
      <c r="J25" s="22">
        <f>IF($B$10="","",INDEX(AccuracyTable!$C$2:$AF$31, MATCH($A25, AccuracyTable!$B$2:$B$31, 0), MATCH($B$10, AccuracyTable!$C$1:$AF$1, 0)))</f>
        <v>0.93209999999999993</v>
      </c>
      <c r="K25" s="21">
        <f t="shared" si="3"/>
        <v>2.0159304461042966</v>
      </c>
      <c r="L25" s="21">
        <f t="shared" si="4"/>
        <v>3.4034400054820808</v>
      </c>
      <c r="M25" s="21">
        <f t="shared" si="5"/>
        <v>4.8802898650037685</v>
      </c>
      <c r="N25" s="21">
        <f t="shared" si="6"/>
        <v>5.6649043376961554</v>
      </c>
    </row>
    <row r="26" spans="1:14" x14ac:dyDescent="0.25">
      <c r="A26" s="23" t="s">
        <v>122</v>
      </c>
      <c r="D26" s="24">
        <f>SUM($D$18:$D$25)</f>
        <v>8755.8000000000011</v>
      </c>
      <c r="E26" s="25">
        <f>SUM($E$18:$E$25)</f>
        <v>0.99999999999999989</v>
      </c>
      <c r="F26" s="24">
        <f>SUM($F$18:$F$25)</f>
        <v>97.999999999999986</v>
      </c>
      <c r="K26" s="24">
        <f>SUM($K$18:$K$25)</f>
        <v>34.539071513739465</v>
      </c>
      <c r="L26" s="24">
        <f>SUM($L$18:$L$25)</f>
        <v>46.947416985312586</v>
      </c>
      <c r="M26" s="24">
        <f>SUM($M$18:$M$25)</f>
        <v>59.142631764087795</v>
      </c>
      <c r="N26" s="24">
        <f>SUM($N$18:$N$25)</f>
        <v>70.066122442266845</v>
      </c>
    </row>
    <row r="28" spans="1:14" ht="30" x14ac:dyDescent="0.25">
      <c r="A28" s="17" t="s">
        <v>123</v>
      </c>
      <c r="K28" s="21">
        <f>IF($B$7="","",SUMPRODUCT($F$18:$F$25,$G$18:$G$25,(1-$G$18:$G$25)))</f>
        <v>17.684188937434385</v>
      </c>
      <c r="L28" s="21">
        <f>IF($B$8="","",SUMPRODUCT($F$18:$F$25,$H$18:$H$25,(1-$H$18:$H$25)))</f>
        <v>18.473868883839739</v>
      </c>
      <c r="M28" s="21">
        <f>IF($B$9="","",SUMPRODUCT($F$18:$F$25,$I$18:$I$25,(1-$I$18:$I$25)))</f>
        <v>17.777549349640697</v>
      </c>
      <c r="N28" s="21">
        <f>IF($B$10="","",SUMPRODUCT($F$18:$F$25,$J$18:$J$25,(1-$J$18:$J$25)))</f>
        <v>15.966586804897327</v>
      </c>
    </row>
    <row r="29" spans="1:14" ht="30" x14ac:dyDescent="0.25">
      <c r="A29" s="17" t="s">
        <v>124</v>
      </c>
      <c r="K29" s="21">
        <f>IF($B$7="","",SQRT(K28))</f>
        <v>4.2052572974117037</v>
      </c>
      <c r="L29" s="21">
        <f>IF($B$8="","",SQRT(L28))</f>
        <v>4.2981238795362495</v>
      </c>
      <c r="M29" s="21">
        <f>IF($B$9="","",SQRT(M28))</f>
        <v>4.2163431252260173</v>
      </c>
      <c r="N29" s="21">
        <f>IF($B$10="","",SQRT(N28))</f>
        <v>3.9958211677823279</v>
      </c>
    </row>
  </sheetData>
  <mergeCells count="4">
    <mergeCell ref="A3:C3"/>
    <mergeCell ref="D3:N3"/>
    <mergeCell ref="A6:C6"/>
    <mergeCell ref="A1:N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30"/>
  <sheetViews>
    <sheetView showGridLines="0" topLeftCell="A10" zoomScale="175" zoomScaleNormal="175" workbookViewId="0">
      <selection activeCell="C19" sqref="C19"/>
    </sheetView>
  </sheetViews>
  <sheetFormatPr defaultRowHeight="15" x14ac:dyDescent="0.25"/>
  <cols>
    <col min="1" max="1" width="10" customWidth="1"/>
    <col min="2" max="2" width="8" customWidth="1"/>
    <col min="3" max="5" width="12" customWidth="1"/>
    <col min="6" max="6" width="13" customWidth="1"/>
    <col min="7" max="10" width="12" customWidth="1"/>
    <col min="11" max="14" width="14" customWidth="1"/>
  </cols>
  <sheetData>
    <row r="1" spans="1:14" x14ac:dyDescent="0.25">
      <c r="A1" s="32" t="s">
        <v>129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</row>
    <row r="3" spans="1:14" x14ac:dyDescent="0.25">
      <c r="A3" s="27" t="s">
        <v>86</v>
      </c>
      <c r="B3" s="28"/>
      <c r="C3" s="28"/>
      <c r="D3" s="27" t="s">
        <v>87</v>
      </c>
      <c r="E3" s="28"/>
      <c r="F3" s="28"/>
      <c r="G3" s="28"/>
      <c r="H3" s="28"/>
      <c r="I3" s="28"/>
      <c r="J3" s="28"/>
      <c r="K3" s="28"/>
      <c r="L3" s="28"/>
      <c r="M3" s="28"/>
      <c r="N3" s="28"/>
    </row>
    <row r="4" spans="1:14" ht="75" x14ac:dyDescent="0.25">
      <c r="A4" t="s">
        <v>88</v>
      </c>
      <c r="B4" s="10">
        <v>6</v>
      </c>
      <c r="D4" s="1" t="s">
        <v>89</v>
      </c>
      <c r="E4" s="11">
        <f>M27</f>
        <v>69.577577153293532</v>
      </c>
    </row>
    <row r="5" spans="1:14" ht="60" x14ac:dyDescent="0.25">
      <c r="A5" t="s">
        <v>90</v>
      </c>
      <c r="B5" s="12">
        <v>113</v>
      </c>
      <c r="D5" s="1" t="s">
        <v>91</v>
      </c>
      <c r="E5" s="13">
        <f>ROUNDUP($E$4,0)</f>
        <v>70</v>
      </c>
    </row>
    <row r="6" spans="1:14" x14ac:dyDescent="0.25">
      <c r="A6" s="31" t="s">
        <v>92</v>
      </c>
      <c r="B6" s="28"/>
      <c r="C6" s="28"/>
    </row>
    <row r="7" spans="1:14" ht="30" x14ac:dyDescent="0.25">
      <c r="A7" t="s">
        <v>93</v>
      </c>
      <c r="B7" s="14">
        <f>IF(OR($B$4-1&lt;0.5,$B$4-1&gt;15),"",$B$4-1)</f>
        <v>5</v>
      </c>
      <c r="D7" s="1" t="s">
        <v>94</v>
      </c>
      <c r="E7" s="15">
        <f>IF($B$7="",-1,IF(K30=0,IF(K27&gt;=$E$5,1,0),1-_xlfn.NORM.DIST($E$5-0.5,K27,K30,TRUE)))</f>
        <v>7.4717310116767521E-10</v>
      </c>
    </row>
    <row r="8" spans="1:14" ht="45" x14ac:dyDescent="0.25">
      <c r="A8" t="s">
        <v>95</v>
      </c>
      <c r="B8" s="14">
        <f>IF(OR($B$4-0.5&lt;0.5,$B$4-0.5&gt;15),"",$B$4-0.5)</f>
        <v>5.5</v>
      </c>
      <c r="D8" s="1" t="s">
        <v>96</v>
      </c>
      <c r="E8" s="15">
        <f>IF($B$8="",-1,IF(L30=0,IF(L27&gt;=$E$5,1,0),1-_xlfn.NORM.DIST($E$5-0.5,L27,L30,TRUE)))</f>
        <v>2.1904291313641355E-3</v>
      </c>
    </row>
    <row r="9" spans="1:14" ht="30" x14ac:dyDescent="0.25">
      <c r="A9" t="s">
        <v>97</v>
      </c>
      <c r="B9" s="14">
        <f>$B$4</f>
        <v>6</v>
      </c>
      <c r="D9" s="1" t="s">
        <v>98</v>
      </c>
      <c r="E9" s="15">
        <f>IF($B$9="",-1,IF(M30=0,IF(M27&gt;=$E$5,1,0),1-_xlfn.NORM.DIST($E$5-0.5,M27,M30,TRUE)))</f>
        <v>0.50676145196285027</v>
      </c>
    </row>
    <row r="10" spans="1:14" ht="45" x14ac:dyDescent="0.25">
      <c r="A10" t="s">
        <v>99</v>
      </c>
      <c r="B10" s="14">
        <f>IF(OR($B$4+0.5&lt;0.5,$B$4+0.5&gt;15),"",$B$4+0.5)</f>
        <v>6.5</v>
      </c>
      <c r="D10" s="1" t="s">
        <v>100</v>
      </c>
      <c r="E10" s="15">
        <f>IF($B$10="",-1,IF(N30=0,IF(N27&gt;=$E$5,1,0),1-_xlfn.NORM.DIST($E$5-0.5,N27,N30,TRUE)))</f>
        <v>0.9911254887803842</v>
      </c>
    </row>
    <row r="11" spans="1:14" x14ac:dyDescent="0.25">
      <c r="E11" s="16" t="s">
        <v>101</v>
      </c>
      <c r="F11" s="16" t="s">
        <v>102</v>
      </c>
      <c r="G11" s="16" t="s">
        <v>103</v>
      </c>
      <c r="H11" s="16" t="s">
        <v>104</v>
      </c>
    </row>
    <row r="12" spans="1:14" ht="30" x14ac:dyDescent="0.25">
      <c r="D12" s="17" t="s">
        <v>105</v>
      </c>
      <c r="E12" s="18">
        <f>IF($B$7="","",K27)</f>
        <v>43.050416015206856</v>
      </c>
      <c r="F12" s="18">
        <f>IF($B$8="","",L27)</f>
        <v>56.595404487016779</v>
      </c>
      <c r="G12" s="18">
        <f>IF($B$9="","",M27)</f>
        <v>69.577577153293532</v>
      </c>
      <c r="H12" s="18">
        <f>IF($B$10="","",N27)</f>
        <v>79.999538771422579</v>
      </c>
    </row>
    <row r="13" spans="1:14" x14ac:dyDescent="0.25">
      <c r="D13" s="17" t="s">
        <v>106</v>
      </c>
      <c r="E13" s="19">
        <f>IF($B$7="","",K27/$B$5)</f>
        <v>0.38097713287793677</v>
      </c>
      <c r="F13" s="19">
        <f>IF($B$8="","",L27/$B$5)</f>
        <v>0.50084428749572374</v>
      </c>
      <c r="G13" s="19">
        <f>IF($B$9="","",M27/$B$5)</f>
        <v>0.6157307712680844</v>
      </c>
      <c r="H13" s="19">
        <f>IF($B$10="","",N27/$B$5)</f>
        <v>0.70796052010108479</v>
      </c>
    </row>
    <row r="14" spans="1:14" ht="30" x14ac:dyDescent="0.25">
      <c r="D14" s="17" t="s">
        <v>107</v>
      </c>
      <c r="E14" s="18">
        <f>IF($B$7="","",K30)</f>
        <v>4.3754673566793549</v>
      </c>
      <c r="F14" s="18">
        <f>IF($B$8="","",L30)</f>
        <v>4.5289603027123402</v>
      </c>
      <c r="G14" s="18">
        <f>IF($B$9="","",M30)</f>
        <v>4.5770235240398902</v>
      </c>
      <c r="H14" s="18">
        <f>IF($B$10="","",N30)</f>
        <v>4.4286664749485354</v>
      </c>
    </row>
    <row r="17" spans="1:14" ht="30" x14ac:dyDescent="0.25">
      <c r="A17" s="3" t="s">
        <v>108</v>
      </c>
      <c r="B17" s="3" t="s">
        <v>109</v>
      </c>
      <c r="C17" s="3" t="s">
        <v>110</v>
      </c>
      <c r="D17" s="3" t="s">
        <v>111</v>
      </c>
      <c r="E17" s="3" t="s">
        <v>112</v>
      </c>
      <c r="F17" s="3" t="s">
        <v>113</v>
      </c>
      <c r="G17" s="3" t="s">
        <v>114</v>
      </c>
      <c r="H17" s="3" t="s">
        <v>115</v>
      </c>
      <c r="I17" s="3" t="s">
        <v>116</v>
      </c>
      <c r="J17" s="3" t="s">
        <v>117</v>
      </c>
      <c r="K17" s="3" t="s">
        <v>118</v>
      </c>
      <c r="L17" s="3" t="s">
        <v>119</v>
      </c>
      <c r="M17" s="3" t="s">
        <v>120</v>
      </c>
      <c r="N17" s="3" t="s">
        <v>121</v>
      </c>
    </row>
    <row r="18" spans="1:14" x14ac:dyDescent="0.25">
      <c r="A18" s="8" t="s">
        <v>59</v>
      </c>
      <c r="B18" s="7">
        <f>INDEX(AccuracyTable!$A$2:$A$31, MATCH($A18, AccuracyTable!$B$2:$B$31, 0))</f>
        <v>698</v>
      </c>
      <c r="C18" s="20">
        <v>1</v>
      </c>
      <c r="D18" s="21">
        <f t="shared" ref="D18:D26" si="0">B18*C18</f>
        <v>698</v>
      </c>
      <c r="E18" s="22">
        <f t="shared" ref="E18:E26" si="1">D18/SUM($D$18:$D$26)</f>
        <v>3.851374466159771E-2</v>
      </c>
      <c r="F18" s="21">
        <f t="shared" ref="F18:F26" si="2">$B$5*E18</f>
        <v>4.3520531467605412</v>
      </c>
      <c r="G18" s="22">
        <f>IF($B$7="","",INDEX(AccuracyTable!$C$2:$AF$31, MATCH($A18, AccuracyTable!$B$2:$B$31, 0), MATCH($B$7, AccuracyTable!$C$1:$AF$1, 0)))</f>
        <v>0.83329999999999993</v>
      </c>
      <c r="H18" s="22">
        <f>IF($B$8="","",INDEX(AccuracyTable!$C$2:$AF$31, MATCH($A18, AccuracyTable!$B$2:$B$31, 0), MATCH($B$8, AccuracyTable!$C$1:$AF$1, 0)))</f>
        <v>0.91709999999999992</v>
      </c>
      <c r="I18" s="22">
        <f>IF($B$9="","",INDEX(AccuracyTable!$C$2:$AF$31, MATCH($A18, AccuracyTable!$B$2:$B$31, 0), MATCH($B$9, AccuracyTable!$C$1:$AF$1, 0)))</f>
        <v>0.94650000000000001</v>
      </c>
      <c r="J18" s="22">
        <f>IF($B$10="","",INDEX(AccuracyTable!$C$2:$AF$31, MATCH($A18, AccuracyTable!$B$2:$B$31, 0), MATCH($B$10, AccuracyTable!$C$1:$AF$1, 0)))</f>
        <v>0.94989999999999997</v>
      </c>
      <c r="K18" s="21">
        <f t="shared" ref="K18:K26" si="3">IF($B$7="","",F18*G18)</f>
        <v>3.6265658871955586</v>
      </c>
      <c r="L18" s="21">
        <f t="shared" ref="L18:L26" si="4">IF($B$8="","",F18*H18)</f>
        <v>3.9912679408940921</v>
      </c>
      <c r="M18" s="21">
        <f t="shared" ref="M18:M26" si="5">IF($B$9="","",F18*I18)</f>
        <v>4.1192183034088519</v>
      </c>
      <c r="N18" s="21">
        <f t="shared" ref="N18:N26" si="6">IF($B$10="","",F18*J18)</f>
        <v>4.1340152841078384</v>
      </c>
    </row>
    <row r="19" spans="1:14" x14ac:dyDescent="0.25">
      <c r="A19" s="8" t="s">
        <v>60</v>
      </c>
      <c r="B19" s="7">
        <f>INDEX(AccuracyTable!$A$2:$A$31, MATCH($A19, AccuracyTable!$B$2:$B$31, 0))</f>
        <v>1268</v>
      </c>
      <c r="C19" s="20">
        <v>1.3</v>
      </c>
      <c r="D19" s="21">
        <f t="shared" si="0"/>
        <v>1648.4</v>
      </c>
      <c r="E19" s="22">
        <f t="shared" si="1"/>
        <v>9.0954235960139934E-2</v>
      </c>
      <c r="F19" s="21">
        <f t="shared" si="2"/>
        <v>10.277828663495812</v>
      </c>
      <c r="G19" s="22">
        <f>IF($B$7="","",INDEX(AccuracyTable!$C$2:$AF$31, MATCH($A19, AccuracyTable!$B$2:$B$31, 0), MATCH($B$7, AccuracyTable!$C$1:$AF$1, 0)))</f>
        <v>0.65639999999999998</v>
      </c>
      <c r="H19" s="22">
        <f>IF($B$8="","",INDEX(AccuracyTable!$C$2:$AF$31, MATCH($A19, AccuracyTable!$B$2:$B$31, 0), MATCH($B$8, AccuracyTable!$C$1:$AF$1, 0)))</f>
        <v>0.78709999999999991</v>
      </c>
      <c r="I19" s="22">
        <f>IF($B$9="","",INDEX(AccuracyTable!$C$2:$AF$31, MATCH($A19, AccuracyTable!$B$2:$B$31, 0), MATCH($B$9, AccuracyTable!$C$1:$AF$1, 0)))</f>
        <v>0.88260000000000005</v>
      </c>
      <c r="J19" s="22">
        <f>IF($B$10="","",INDEX(AccuracyTable!$C$2:$AF$31, MATCH($A19, AccuracyTable!$B$2:$B$31, 0), MATCH($B$10, AccuracyTable!$C$1:$AF$1, 0)))</f>
        <v>0.93129999999999991</v>
      </c>
      <c r="K19" s="21">
        <f t="shared" si="3"/>
        <v>6.7463667347186513</v>
      </c>
      <c r="L19" s="21">
        <f t="shared" si="4"/>
        <v>8.0896789410375529</v>
      </c>
      <c r="M19" s="21">
        <f t="shared" si="5"/>
        <v>9.0712115784014049</v>
      </c>
      <c r="N19" s="21">
        <f t="shared" si="6"/>
        <v>9.5717418343136487</v>
      </c>
    </row>
    <row r="20" spans="1:14" x14ac:dyDescent="0.25">
      <c r="A20" s="8" t="s">
        <v>61</v>
      </c>
      <c r="B20" s="7">
        <f>INDEX(AccuracyTable!$A$2:$A$31, MATCH($A20, AccuracyTable!$B$2:$B$31, 0))</f>
        <v>2021</v>
      </c>
      <c r="C20" s="20">
        <v>1.5</v>
      </c>
      <c r="D20" s="21">
        <f t="shared" si="0"/>
        <v>3031.5</v>
      </c>
      <c r="E20" s="22">
        <f t="shared" si="1"/>
        <v>0.16726993831179579</v>
      </c>
      <c r="F20" s="21">
        <f t="shared" si="2"/>
        <v>18.901503029232924</v>
      </c>
      <c r="G20" s="22">
        <f>IF($B$7="","",INDEX(AccuracyTable!$C$2:$AF$31, MATCH($A20, AccuracyTable!$B$2:$B$31, 0), MATCH($B$7, AccuracyTable!$C$1:$AF$1, 0)))</f>
        <v>0.41970000000000002</v>
      </c>
      <c r="H20" s="22">
        <f>IF($B$8="","",INDEX(AccuracyTable!$C$2:$AF$31, MATCH($A20, AccuracyTable!$B$2:$B$31, 0), MATCH($B$8, AccuracyTable!$C$1:$AF$1, 0)))</f>
        <v>0.56930000000000003</v>
      </c>
      <c r="I20" s="22">
        <f>IF($B$9="","",INDEX(AccuracyTable!$C$2:$AF$31, MATCH($A20, AccuracyTable!$B$2:$B$31, 0), MATCH($B$9, AccuracyTable!$C$1:$AF$1, 0)))</f>
        <v>0.70079999999999998</v>
      </c>
      <c r="J20" s="22">
        <f>IF($B$10="","",INDEX(AccuracyTable!$C$2:$AF$31, MATCH($A20, AccuracyTable!$B$2:$B$31, 0), MATCH($B$10, AccuracyTable!$C$1:$AF$1, 0)))</f>
        <v>0.80349999999999999</v>
      </c>
      <c r="K20" s="21">
        <f t="shared" si="3"/>
        <v>7.9329608213690586</v>
      </c>
      <c r="L20" s="21">
        <f t="shared" si="4"/>
        <v>10.760625674542304</v>
      </c>
      <c r="M20" s="21">
        <f t="shared" si="5"/>
        <v>13.246173322886433</v>
      </c>
      <c r="N20" s="21">
        <f t="shared" si="6"/>
        <v>15.187357683988655</v>
      </c>
    </row>
    <row r="21" spans="1:14" x14ac:dyDescent="0.25">
      <c r="A21" s="8" t="s">
        <v>62</v>
      </c>
      <c r="B21" s="7">
        <f>INDEX(AccuracyTable!$A$2:$A$31, MATCH($A21, AccuracyTable!$B$2:$B$31, 0))</f>
        <v>2806</v>
      </c>
      <c r="C21" s="20">
        <v>1.3</v>
      </c>
      <c r="D21" s="21">
        <f t="shared" si="0"/>
        <v>3647.8</v>
      </c>
      <c r="E21" s="22">
        <f t="shared" si="1"/>
        <v>0.20127569882030966</v>
      </c>
      <c r="F21" s="21">
        <f t="shared" si="2"/>
        <v>22.744153966694991</v>
      </c>
      <c r="G21" s="22">
        <f>IF($B$7="","",INDEX(AccuracyTable!$C$2:$AF$31, MATCH($A21, AccuracyTable!$B$2:$B$31, 0), MATCH($B$7, AccuracyTable!$C$1:$AF$1, 0)))</f>
        <v>0.24990000000000001</v>
      </c>
      <c r="H21" s="22">
        <f>IF($B$8="","",INDEX(AccuracyTable!$C$2:$AF$31, MATCH($A21, AccuracyTable!$B$2:$B$31, 0), MATCH($B$8, AccuracyTable!$C$1:$AF$1, 0)))</f>
        <v>0.39100000000000001</v>
      </c>
      <c r="I21" s="22">
        <f>IF($B$9="","",INDEX(AccuracyTable!$C$2:$AF$31, MATCH($A21, AccuracyTable!$B$2:$B$31, 0), MATCH($B$9, AccuracyTable!$C$1:$AF$1, 0)))</f>
        <v>0.54049999999999998</v>
      </c>
      <c r="J21" s="22">
        <f>IF($B$10="","",INDEX(AccuracyTable!$C$2:$AF$31, MATCH($A21, AccuracyTable!$B$2:$B$31, 0), MATCH($B$10, AccuracyTable!$C$1:$AF$1, 0)))</f>
        <v>0.65890000000000004</v>
      </c>
      <c r="K21" s="21">
        <f t="shared" si="3"/>
        <v>5.6837640762770789</v>
      </c>
      <c r="L21" s="21">
        <f t="shared" si="4"/>
        <v>8.8929642009777421</v>
      </c>
      <c r="M21" s="21">
        <f t="shared" si="5"/>
        <v>12.293215218998643</v>
      </c>
      <c r="N21" s="21">
        <f t="shared" si="6"/>
        <v>14.986123048655331</v>
      </c>
    </row>
    <row r="22" spans="1:14" x14ac:dyDescent="0.25">
      <c r="A22" s="8" t="s">
        <v>63</v>
      </c>
      <c r="B22" s="7">
        <f>INDEX(AccuracyTable!$A$2:$A$31, MATCH($A22, AccuracyTable!$B$2:$B$31, 0))</f>
        <v>3785</v>
      </c>
      <c r="C22" s="20">
        <v>1</v>
      </c>
      <c r="D22" s="21">
        <f t="shared" si="0"/>
        <v>3785</v>
      </c>
      <c r="E22" s="22">
        <f t="shared" si="1"/>
        <v>0.20884602226955207</v>
      </c>
      <c r="F22" s="21">
        <f t="shared" si="2"/>
        <v>23.599600516459383</v>
      </c>
      <c r="G22" s="22">
        <f>IF($B$7="","",INDEX(AccuracyTable!$C$2:$AF$31, MATCH($A22, AccuracyTable!$B$2:$B$31, 0), MATCH($B$7, AccuracyTable!$C$1:$AF$1, 0)))</f>
        <v>0.16339999999999999</v>
      </c>
      <c r="H22" s="22">
        <f>IF($B$8="","",INDEX(AccuracyTable!$C$2:$AF$31, MATCH($A22, AccuracyTable!$B$2:$B$31, 0), MATCH($B$8, AccuracyTable!$C$1:$AF$1, 0)))</f>
        <v>0.27350000000000002</v>
      </c>
      <c r="I22" s="22">
        <f>IF($B$9="","",INDEX(AccuracyTable!$C$2:$AF$31, MATCH($A22, AccuracyTable!$B$2:$B$31, 0), MATCH($B$9, AccuracyTable!$C$1:$AF$1, 0)))</f>
        <v>0.4224</v>
      </c>
      <c r="J22" s="22">
        <f>IF($B$10="","",INDEX(AccuracyTable!$C$2:$AF$31, MATCH($A22, AccuracyTable!$B$2:$B$31, 0), MATCH($B$10, AccuracyTable!$C$1:$AF$1, 0)))</f>
        <v>0.55349999999999999</v>
      </c>
      <c r="K22" s="21">
        <f t="shared" si="3"/>
        <v>3.8561747243894628</v>
      </c>
      <c r="L22" s="21">
        <f t="shared" si="4"/>
        <v>6.4544907412516412</v>
      </c>
      <c r="M22" s="21">
        <f t="shared" si="5"/>
        <v>9.9684712581524426</v>
      </c>
      <c r="N22" s="21">
        <f t="shared" si="6"/>
        <v>13.062378885860268</v>
      </c>
    </row>
    <row r="23" spans="1:14" x14ac:dyDescent="0.25">
      <c r="A23" s="8" t="s">
        <v>64</v>
      </c>
      <c r="B23" s="7">
        <f>INDEX(AccuracyTable!$A$2:$A$31, MATCH($A23, AccuracyTable!$B$2:$B$31, 0))</f>
        <v>4374</v>
      </c>
      <c r="C23" s="20">
        <v>0.6</v>
      </c>
      <c r="D23" s="21">
        <f t="shared" si="0"/>
        <v>2624.4</v>
      </c>
      <c r="E23" s="22">
        <f t="shared" si="1"/>
        <v>0.14480726574483815</v>
      </c>
      <c r="F23" s="21">
        <f t="shared" si="2"/>
        <v>16.363221029166713</v>
      </c>
      <c r="G23" s="22">
        <f>IF($B$7="","",INDEX(AccuracyTable!$C$2:$AF$31, MATCH($A23, AccuracyTable!$B$2:$B$31, 0), MATCH($B$7, AccuracyTable!$C$1:$AF$1, 0)))</f>
        <v>0.11310000000000001</v>
      </c>
      <c r="H23" s="22">
        <f>IF($B$8="","",INDEX(AccuracyTable!$C$2:$AF$31, MATCH($A23, AccuracyTable!$B$2:$B$31, 0), MATCH($B$8, AccuracyTable!$C$1:$AF$1, 0)))</f>
        <v>0.18509999999999999</v>
      </c>
      <c r="I23" s="22">
        <f>IF($B$9="","",INDEX(AccuracyTable!$C$2:$AF$31, MATCH($A23, AccuracyTable!$B$2:$B$31, 0), MATCH($B$9, AccuracyTable!$C$1:$AF$1, 0)))</f>
        <v>0.3049</v>
      </c>
      <c r="J23" s="22">
        <f>IF($B$10="","",INDEX(AccuracyTable!$C$2:$AF$31, MATCH($A23, AccuracyTable!$B$2:$B$31, 0), MATCH($B$10, AccuracyTable!$C$1:$AF$1, 0)))</f>
        <v>0.436</v>
      </c>
      <c r="K23" s="21">
        <f t="shared" si="3"/>
        <v>1.8506802983987554</v>
      </c>
      <c r="L23" s="21">
        <f t="shared" si="4"/>
        <v>3.0288322124987581</v>
      </c>
      <c r="M23" s="21">
        <f t="shared" si="5"/>
        <v>4.9891460917929304</v>
      </c>
      <c r="N23" s="21">
        <f t="shared" si="6"/>
        <v>7.1343643687166871</v>
      </c>
    </row>
    <row r="24" spans="1:14" x14ac:dyDescent="0.25">
      <c r="A24" s="8" t="s">
        <v>75</v>
      </c>
      <c r="B24" s="7">
        <f>INDEX(AccuracyTable!$A$2:$A$31, MATCH($A24, AccuracyTable!$B$2:$B$31, 0))</f>
        <v>909</v>
      </c>
      <c r="C24" s="20">
        <v>1</v>
      </c>
      <c r="D24" s="21">
        <f t="shared" si="0"/>
        <v>909</v>
      </c>
      <c r="E24" s="22">
        <f t="shared" si="1"/>
        <v>5.0156151715461776E-2</v>
      </c>
      <c r="F24" s="21">
        <f t="shared" si="2"/>
        <v>5.6676451438471807</v>
      </c>
      <c r="G24" s="22">
        <f>IF($B$7="","",INDEX(AccuracyTable!$C$2:$AF$31, MATCH($A24, AccuracyTable!$B$2:$B$31, 0), MATCH($B$7, AccuracyTable!$C$1:$AF$1, 0)))</f>
        <v>0.93519999999999992</v>
      </c>
      <c r="H24" s="22">
        <f>IF($B$8="","",INDEX(AccuracyTable!$C$2:$AF$31, MATCH($A24, AccuracyTable!$B$2:$B$31, 0), MATCH($B$8, AccuracyTable!$C$1:$AF$1, 0)))</f>
        <v>0.94980000000000009</v>
      </c>
      <c r="I24" s="22">
        <f>IF($B$9="","",INDEX(AccuracyTable!$C$2:$AF$31, MATCH($A24, AccuracyTable!$B$2:$B$31, 0), MATCH($B$9, AccuracyTable!$C$1:$AF$1, 0)))</f>
        <v>0.95</v>
      </c>
      <c r="J24" s="22">
        <f>IF($B$10="","",INDEX(AccuracyTable!$C$2:$AF$31, MATCH($A24, AccuracyTable!$B$2:$B$31, 0), MATCH($B$10, AccuracyTable!$C$1:$AF$1, 0)))</f>
        <v>0.95</v>
      </c>
      <c r="K24" s="21">
        <f t="shared" si="3"/>
        <v>5.3003817385258829</v>
      </c>
      <c r="L24" s="21">
        <f t="shared" si="4"/>
        <v>5.3831293576260526</v>
      </c>
      <c r="M24" s="21">
        <f t="shared" si="5"/>
        <v>5.3842628866548212</v>
      </c>
      <c r="N24" s="21">
        <f t="shared" si="6"/>
        <v>5.3842628866548212</v>
      </c>
    </row>
    <row r="25" spans="1:14" x14ac:dyDescent="0.25">
      <c r="A25" s="8" t="s">
        <v>76</v>
      </c>
      <c r="B25" s="7">
        <f>INDEX(AccuracyTable!$A$2:$A$31, MATCH($A25, AccuracyTable!$B$2:$B$31, 0))</f>
        <v>1086</v>
      </c>
      <c r="C25" s="20">
        <v>0.8</v>
      </c>
      <c r="D25" s="21">
        <f t="shared" si="0"/>
        <v>868.80000000000007</v>
      </c>
      <c r="E25" s="22">
        <f t="shared" si="1"/>
        <v>4.7938024873919904E-2</v>
      </c>
      <c r="F25" s="21">
        <f t="shared" si="2"/>
        <v>5.4169968107529494</v>
      </c>
      <c r="G25" s="22">
        <f>IF($B$7="","",INDEX(AccuracyTable!$C$2:$AF$31, MATCH($A25, AccuracyTable!$B$2:$B$31, 0), MATCH($B$7, AccuracyTable!$C$1:$AF$1, 0)))</f>
        <v>0.80299999999999994</v>
      </c>
      <c r="H25" s="22">
        <f>IF($B$8="","",INDEX(AccuracyTable!$C$2:$AF$31, MATCH($A25, AccuracyTable!$B$2:$B$31, 0), MATCH($B$8, AccuracyTable!$C$1:$AF$1, 0)))</f>
        <v>0.93209999999999993</v>
      </c>
      <c r="I25" s="22">
        <f>IF($B$9="","",INDEX(AccuracyTable!$C$2:$AF$31, MATCH($A25, AccuracyTable!$B$2:$B$31, 0), MATCH($B$9, AccuracyTable!$C$1:$AF$1, 0)))</f>
        <v>0.94969999999999999</v>
      </c>
      <c r="J25" s="22">
        <f>IF($B$10="","",INDEX(AccuracyTable!$C$2:$AF$31, MATCH($A25, AccuracyTable!$B$2:$B$31, 0), MATCH($B$10, AccuracyTable!$C$1:$AF$1, 0)))</f>
        <v>0.95</v>
      </c>
      <c r="K25" s="21">
        <f t="shared" si="3"/>
        <v>4.3498484390346182</v>
      </c>
      <c r="L25" s="21">
        <f t="shared" si="4"/>
        <v>5.0491827273028234</v>
      </c>
      <c r="M25" s="21">
        <f t="shared" si="5"/>
        <v>5.1445218711720759</v>
      </c>
      <c r="N25" s="21">
        <f t="shared" si="6"/>
        <v>5.1461469702153018</v>
      </c>
    </row>
    <row r="26" spans="1:14" x14ac:dyDescent="0.25">
      <c r="A26" s="8" t="s">
        <v>77</v>
      </c>
      <c r="B26" s="7">
        <f>INDEX(AccuracyTable!$A$2:$A$31, MATCH($A26, AccuracyTable!$B$2:$B$31, 0))</f>
        <v>1821</v>
      </c>
      <c r="C26" s="20">
        <v>0.5</v>
      </c>
      <c r="D26" s="21">
        <f t="shared" si="0"/>
        <v>910.5</v>
      </c>
      <c r="E26" s="22">
        <f t="shared" si="1"/>
        <v>5.023891764238498E-2</v>
      </c>
      <c r="F26" s="21">
        <f t="shared" si="2"/>
        <v>5.6769976935895023</v>
      </c>
      <c r="G26" s="22">
        <f>IF($B$7="","",INDEX(AccuracyTable!$C$2:$AF$31, MATCH($A26, AccuracyTable!$B$2:$B$31, 0), MATCH($B$7, AccuracyTable!$C$1:$AF$1, 0)))</f>
        <v>0.65239999999999998</v>
      </c>
      <c r="H26" s="22">
        <f>IF($B$8="","",INDEX(AccuracyTable!$C$2:$AF$31, MATCH($A26, AccuracyTable!$B$2:$B$31, 0), MATCH($B$8, AccuracyTable!$C$1:$AF$1, 0)))</f>
        <v>0.87109999999999999</v>
      </c>
      <c r="I26" s="22">
        <f>IF($B$9="","",INDEX(AccuracyTable!$C$2:$AF$31, MATCH($A26, AccuracyTable!$B$2:$B$31, 0), MATCH($B$9, AccuracyTable!$C$1:$AF$1, 0)))</f>
        <v>0.94440000000000002</v>
      </c>
      <c r="J26" s="22">
        <f>IF($B$10="","",INDEX(AccuracyTable!$C$2:$AF$31, MATCH($A26, AccuracyTable!$B$2:$B$31, 0), MATCH($B$10, AccuracyTable!$C$1:$AF$1, 0)))</f>
        <v>0.95</v>
      </c>
      <c r="K26" s="21">
        <f t="shared" si="3"/>
        <v>3.7036732952977913</v>
      </c>
      <c r="L26" s="21">
        <f t="shared" si="4"/>
        <v>4.9452326908858151</v>
      </c>
      <c r="M26" s="21">
        <f t="shared" si="5"/>
        <v>5.3613566218259265</v>
      </c>
      <c r="N26" s="21">
        <f t="shared" si="6"/>
        <v>5.3931478089100269</v>
      </c>
    </row>
    <row r="27" spans="1:14" x14ac:dyDescent="0.25">
      <c r="A27" s="23" t="s">
        <v>122</v>
      </c>
      <c r="D27" s="24">
        <f>SUM($D$18:$D$26)</f>
        <v>18123.400000000001</v>
      </c>
      <c r="E27" s="25">
        <f>SUM($E$18:$E$26)</f>
        <v>0.99999999999999978</v>
      </c>
      <c r="F27" s="24">
        <f>SUM($F$18:$F$26)</f>
        <v>113</v>
      </c>
      <c r="K27" s="24">
        <f>SUM($K$18:$K$26)</f>
        <v>43.050416015206856</v>
      </c>
      <c r="L27" s="24">
        <f>SUM($L$18:$L$26)</f>
        <v>56.595404487016779</v>
      </c>
      <c r="M27" s="24">
        <f>SUM($M$18:$M$26)</f>
        <v>69.577577153293532</v>
      </c>
      <c r="N27" s="24">
        <f>SUM($N$18:$N$26)</f>
        <v>79.999538771422579</v>
      </c>
    </row>
    <row r="29" spans="1:14" ht="30" x14ac:dyDescent="0.25">
      <c r="A29" s="17" t="s">
        <v>123</v>
      </c>
      <c r="K29" s="21">
        <f>IF($B$7="","",SUMPRODUCT($F$18:$F$26,$G$18:$G$26,(1-$G$18:$G$26)))</f>
        <v>19.144714589366622</v>
      </c>
      <c r="L29" s="21">
        <f>IF($B$8="","",SUMPRODUCT($F$18:$F$26,$H$18:$H$26,(1-$H$18:$H$26)))</f>
        <v>20.511481423544254</v>
      </c>
      <c r="M29" s="21">
        <f>IF($B$9="","",SUMPRODUCT($F$18:$F$26,$I$18:$I$26,(1-$I$18:$I$26)))</f>
        <v>20.949144339614534</v>
      </c>
      <c r="N29" s="21">
        <f>IF($B$10="","",SUMPRODUCT($F$18:$F$26,$J$18:$J$26,(1-$J$18:$J$26)))</f>
        <v>19.613086746333085</v>
      </c>
    </row>
    <row r="30" spans="1:14" ht="30" x14ac:dyDescent="0.25">
      <c r="A30" s="17" t="s">
        <v>124</v>
      </c>
      <c r="K30" s="21">
        <f>IF($B$7="","",SQRT(K29))</f>
        <v>4.3754673566793549</v>
      </c>
      <c r="L30" s="21">
        <f>IF($B$8="","",SQRT(L29))</f>
        <v>4.5289603027123402</v>
      </c>
      <c r="M30" s="21">
        <f>IF($B$9="","",SQRT(M29))</f>
        <v>4.5770235240398902</v>
      </c>
      <c r="N30" s="21">
        <f>IF($B$10="","",SQRT(N29))</f>
        <v>4.4286664749485354</v>
      </c>
    </row>
  </sheetData>
  <mergeCells count="4">
    <mergeCell ref="A3:C3"/>
    <mergeCell ref="D3:N3"/>
    <mergeCell ref="A6:C6"/>
    <mergeCell ref="A1:N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30"/>
  <sheetViews>
    <sheetView showGridLines="0" zoomScale="175" zoomScaleNormal="175" workbookViewId="0">
      <selection activeCell="A6" sqref="A6:C6"/>
    </sheetView>
  </sheetViews>
  <sheetFormatPr defaultRowHeight="15" x14ac:dyDescent="0.25"/>
  <cols>
    <col min="1" max="1" width="10" customWidth="1"/>
    <col min="2" max="2" width="8" customWidth="1"/>
    <col min="3" max="5" width="12" customWidth="1"/>
    <col min="6" max="6" width="13" customWidth="1"/>
    <col min="7" max="10" width="12" customWidth="1"/>
    <col min="11" max="14" width="14" customWidth="1"/>
  </cols>
  <sheetData>
    <row r="1" spans="1:14" x14ac:dyDescent="0.25">
      <c r="A1" s="32" t="s">
        <v>130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</row>
    <row r="3" spans="1:14" x14ac:dyDescent="0.25">
      <c r="A3" s="27" t="s">
        <v>86</v>
      </c>
      <c r="B3" s="28"/>
      <c r="C3" s="28"/>
      <c r="D3" s="27" t="s">
        <v>87</v>
      </c>
      <c r="E3" s="28"/>
      <c r="F3" s="28"/>
      <c r="G3" s="28"/>
      <c r="H3" s="28"/>
      <c r="I3" s="28"/>
      <c r="J3" s="28"/>
      <c r="K3" s="28"/>
      <c r="L3" s="28"/>
      <c r="M3" s="28"/>
      <c r="N3" s="28"/>
    </row>
    <row r="4" spans="1:14" ht="75" x14ac:dyDescent="0.25">
      <c r="A4" t="s">
        <v>88</v>
      </c>
      <c r="B4" s="10">
        <v>7</v>
      </c>
      <c r="D4" s="1" t="s">
        <v>89</v>
      </c>
      <c r="E4" s="11">
        <f>M27</f>
        <v>94.507414555497022</v>
      </c>
    </row>
    <row r="5" spans="1:14" ht="60" x14ac:dyDescent="0.25">
      <c r="A5" t="s">
        <v>90</v>
      </c>
      <c r="B5" s="12">
        <v>150</v>
      </c>
      <c r="D5" s="1" t="s">
        <v>91</v>
      </c>
      <c r="E5" s="13">
        <f>ROUNDUP($E$4,0)</f>
        <v>95</v>
      </c>
    </row>
    <row r="6" spans="1:14" x14ac:dyDescent="0.25">
      <c r="A6" s="31" t="s">
        <v>92</v>
      </c>
      <c r="B6" s="28"/>
      <c r="C6" s="28"/>
    </row>
    <row r="7" spans="1:14" ht="30" x14ac:dyDescent="0.25">
      <c r="A7" t="s">
        <v>93</v>
      </c>
      <c r="B7" s="14">
        <f>IF(OR($B$4-1&lt;0.5,$B$4-1&gt;15),"",$B$4-1)</f>
        <v>6</v>
      </c>
      <c r="D7" s="1" t="s">
        <v>94</v>
      </c>
      <c r="E7" s="15">
        <f>IF($B$7="",-1,IF(K30=0,IF(K27&gt;=$E$5,1,0),1-_xlfn.NORM.DIST($E$5-0.5,K27,K30,TRUE)))</f>
        <v>3.9765777337663621E-9</v>
      </c>
    </row>
    <row r="8" spans="1:14" ht="45" x14ac:dyDescent="0.25">
      <c r="A8" t="s">
        <v>95</v>
      </c>
      <c r="B8" s="14">
        <f>IF(OR($B$4-0.5&lt;0.5,$B$4-0.5&gt;15),"",$B$4-0.5)</f>
        <v>6.5</v>
      </c>
      <c r="D8" s="1" t="s">
        <v>96</v>
      </c>
      <c r="E8" s="15">
        <f>IF($B$8="",-1,IF(L30=0,IF(L27&gt;=$E$5,1,0),1-_xlfn.NORM.DIST($E$5-0.5,L27,L30,TRUE)))</f>
        <v>3.5111539913585954E-3</v>
      </c>
    </row>
    <row r="9" spans="1:14" ht="30" x14ac:dyDescent="0.25">
      <c r="A9" t="s">
        <v>97</v>
      </c>
      <c r="B9" s="14">
        <f>$B$4</f>
        <v>7</v>
      </c>
      <c r="D9" s="1" t="s">
        <v>98</v>
      </c>
      <c r="E9" s="15">
        <f>IF($B$9="",-1,IF(M30=0,IF(M27&gt;=$E$5,1,0),1-_xlfn.NORM.DIST($E$5-0.5,M27,M30,TRUE)))</f>
        <v>0.50054220935561067</v>
      </c>
    </row>
    <row r="10" spans="1:14" ht="45" x14ac:dyDescent="0.25">
      <c r="A10" t="s">
        <v>99</v>
      </c>
      <c r="B10" s="14">
        <f>IF(OR($B$4+0.5&lt;0.5,$B$4+0.5&gt;15),"",$B$4+0.5)</f>
        <v>7.5</v>
      </c>
      <c r="D10" s="1" t="s">
        <v>100</v>
      </c>
      <c r="E10" s="15">
        <f>IF($B$10="",-1,IF(N30=0,IF(N27&gt;=$E$5,1,0),1-_xlfn.NORM.DIST($E$5-0.5,N27,N30,TRUE)))</f>
        <v>0.97720871012069821</v>
      </c>
    </row>
    <row r="11" spans="1:14" x14ac:dyDescent="0.25">
      <c r="E11" s="16" t="s">
        <v>101</v>
      </c>
      <c r="F11" s="16" t="s">
        <v>102</v>
      </c>
      <c r="G11" s="16" t="s">
        <v>103</v>
      </c>
      <c r="H11" s="16" t="s">
        <v>104</v>
      </c>
    </row>
    <row r="12" spans="1:14" ht="30" x14ac:dyDescent="0.25">
      <c r="D12" s="17" t="s">
        <v>105</v>
      </c>
      <c r="E12" s="18">
        <f>IF($B$7="","",K27)</f>
        <v>63.703838683758214</v>
      </c>
      <c r="F12" s="18">
        <f>IF($B$8="","",L27)</f>
        <v>79.618224595458912</v>
      </c>
      <c r="G12" s="18">
        <f>IF($B$9="","",M27)</f>
        <v>94.507414555497022</v>
      </c>
      <c r="H12" s="18">
        <f>IF($B$10="","",N27)</f>
        <v>104.98427512518025</v>
      </c>
    </row>
    <row r="13" spans="1:14" x14ac:dyDescent="0.25">
      <c r="D13" s="17" t="s">
        <v>106</v>
      </c>
      <c r="E13" s="19">
        <f>IF($B$7="","",K27/$B$5)</f>
        <v>0.42469225789172144</v>
      </c>
      <c r="F13" s="19">
        <f>IF($B$8="","",L27/$B$5)</f>
        <v>0.53078816396972606</v>
      </c>
      <c r="G13" s="19">
        <f>IF($B$9="","",M27/$B$5)</f>
        <v>0.63004943036998018</v>
      </c>
      <c r="H13" s="19">
        <f>IF($B$10="","",N27/$B$5)</f>
        <v>0.69989516750120162</v>
      </c>
    </row>
    <row r="14" spans="1:14" ht="30" x14ac:dyDescent="0.25">
      <c r="D14" s="17" t="s">
        <v>107</v>
      </c>
      <c r="E14" s="18">
        <f>IF($B$7="","",K30)</f>
        <v>5.3378001924379825</v>
      </c>
      <c r="F14" s="18">
        <f>IF($B$8="","",L30)</f>
        <v>5.5203876132605636</v>
      </c>
      <c r="G14" s="18">
        <f>IF($B$9="","",M30)</f>
        <v>5.4554181643547581</v>
      </c>
      <c r="H14" s="18">
        <f>IF($B$10="","",N30)</f>
        <v>5.2441348725859225</v>
      </c>
    </row>
    <row r="17" spans="1:14" ht="30" x14ac:dyDescent="0.25">
      <c r="A17" s="3" t="s">
        <v>108</v>
      </c>
      <c r="B17" s="3" t="s">
        <v>109</v>
      </c>
      <c r="C17" s="3" t="s">
        <v>110</v>
      </c>
      <c r="D17" s="3" t="s">
        <v>111</v>
      </c>
      <c r="E17" s="3" t="s">
        <v>112</v>
      </c>
      <c r="F17" s="3" t="s">
        <v>113</v>
      </c>
      <c r="G17" s="3" t="s">
        <v>114</v>
      </c>
      <c r="H17" s="3" t="s">
        <v>115</v>
      </c>
      <c r="I17" s="3" t="s">
        <v>116</v>
      </c>
      <c r="J17" s="3" t="s">
        <v>117</v>
      </c>
      <c r="K17" s="3" t="s">
        <v>118</v>
      </c>
      <c r="L17" s="3" t="s">
        <v>119</v>
      </c>
      <c r="M17" s="3" t="s">
        <v>120</v>
      </c>
      <c r="N17" s="3" t="s">
        <v>121</v>
      </c>
    </row>
    <row r="18" spans="1:14" x14ac:dyDescent="0.25">
      <c r="A18" s="8" t="s">
        <v>61</v>
      </c>
      <c r="B18" s="7">
        <f>INDEX(AccuracyTable!$A$2:$A$31, MATCH($A18, AccuracyTable!$B$2:$B$31, 0))</f>
        <v>2021</v>
      </c>
      <c r="C18" s="20">
        <v>1</v>
      </c>
      <c r="D18" s="21">
        <f t="shared" ref="D18:D26" si="0">B18*C18</f>
        <v>2021</v>
      </c>
      <c r="E18" s="22">
        <f t="shared" ref="E18:E26" si="1">D18/SUM($D$18:$D$26)</f>
        <v>7.1693742494949322E-2</v>
      </c>
      <c r="F18" s="21">
        <f t="shared" ref="F18:F26" si="2">$B$5*E18</f>
        <v>10.754061374242399</v>
      </c>
      <c r="G18" s="22">
        <f>IF($B$7="","",INDEX(AccuracyTable!$C$2:$AF$31, MATCH($A18, AccuracyTable!$B$2:$B$31, 0), MATCH($B$7, AccuracyTable!$C$1:$AF$1, 0)))</f>
        <v>0.70079999999999998</v>
      </c>
      <c r="H18" s="22">
        <f>IF($B$8="","",INDEX(AccuracyTable!$C$2:$AF$31, MATCH($A18, AccuracyTable!$B$2:$B$31, 0), MATCH($B$8, AccuracyTable!$C$1:$AF$1, 0)))</f>
        <v>0.80349999999999999</v>
      </c>
      <c r="I18" s="22">
        <f>IF($B$9="","",INDEX(AccuracyTable!$C$2:$AF$31, MATCH($A18, AccuracyTable!$B$2:$B$31, 0), MATCH($B$9, AccuracyTable!$C$1:$AF$1, 0)))</f>
        <v>0.88370000000000004</v>
      </c>
      <c r="J18" s="22">
        <f>IF($B$10="","",INDEX(AccuracyTable!$C$2:$AF$31, MATCH($A18, AccuracyTable!$B$2:$B$31, 0), MATCH($B$10, AccuracyTable!$C$1:$AF$1, 0)))</f>
        <v>0.92489999999999994</v>
      </c>
      <c r="K18" s="21">
        <f t="shared" ref="K18:K26" si="3">IF($B$7="","",F18*G18)</f>
        <v>7.5364462110690731</v>
      </c>
      <c r="L18" s="21">
        <f t="shared" ref="L18:L26" si="4">IF($B$8="","",F18*H18)</f>
        <v>8.6408883142037674</v>
      </c>
      <c r="M18" s="21">
        <f t="shared" ref="M18:M26" si="5">IF($B$9="","",F18*I18)</f>
        <v>9.5033640364180076</v>
      </c>
      <c r="N18" s="21">
        <f t="shared" ref="N18:N26" si="6">IF($B$10="","",F18*J18)</f>
        <v>9.9464313650367941</v>
      </c>
    </row>
    <row r="19" spans="1:14" x14ac:dyDescent="0.25">
      <c r="A19" s="8" t="s">
        <v>62</v>
      </c>
      <c r="B19" s="7">
        <f>INDEX(AccuracyTable!$A$2:$A$31, MATCH($A19, AccuracyTable!$B$2:$B$31, 0))</f>
        <v>2806</v>
      </c>
      <c r="C19" s="20">
        <v>1.5</v>
      </c>
      <c r="D19" s="21">
        <f t="shared" si="0"/>
        <v>4209</v>
      </c>
      <c r="E19" s="22">
        <f t="shared" si="1"/>
        <v>0.14931170814509734</v>
      </c>
      <c r="F19" s="21">
        <f t="shared" si="2"/>
        <v>22.396756221764601</v>
      </c>
      <c r="G19" s="22">
        <f>IF($B$7="","",INDEX(AccuracyTable!$C$2:$AF$31, MATCH($A19, AccuracyTable!$B$2:$B$31, 0), MATCH($B$7, AccuracyTable!$C$1:$AF$1, 0)))</f>
        <v>0.54049999999999998</v>
      </c>
      <c r="H19" s="22">
        <f>IF($B$8="","",INDEX(AccuracyTable!$C$2:$AF$31, MATCH($A19, AccuracyTable!$B$2:$B$31, 0), MATCH($B$8, AccuracyTable!$C$1:$AF$1, 0)))</f>
        <v>0.65890000000000004</v>
      </c>
      <c r="I19" s="22">
        <f>IF($B$9="","",INDEX(AccuracyTable!$C$2:$AF$31, MATCH($A19, AccuracyTable!$B$2:$B$31, 0), MATCH($B$9, AccuracyTable!$C$1:$AF$1, 0)))</f>
        <v>0.75989999999999991</v>
      </c>
      <c r="J19" s="22">
        <f>IF($B$10="","",INDEX(AccuracyTable!$C$2:$AF$31, MATCH($A19, AccuracyTable!$B$2:$B$31, 0), MATCH($B$10, AccuracyTable!$C$1:$AF$1, 0)))</f>
        <v>0.83030000000000004</v>
      </c>
      <c r="K19" s="21">
        <f t="shared" si="3"/>
        <v>12.105446737863767</v>
      </c>
      <c r="L19" s="21">
        <f t="shared" si="4"/>
        <v>14.757222674520696</v>
      </c>
      <c r="M19" s="21">
        <f t="shared" si="5"/>
        <v>17.019295052918917</v>
      </c>
      <c r="N19" s="21">
        <f t="shared" si="6"/>
        <v>18.596026690931151</v>
      </c>
    </row>
    <row r="20" spans="1:14" x14ac:dyDescent="0.25">
      <c r="A20" s="8" t="s">
        <v>63</v>
      </c>
      <c r="B20" s="7">
        <f>INDEX(AccuracyTable!$A$2:$A$31, MATCH($A20, AccuracyTable!$B$2:$B$31, 0))</f>
        <v>3785</v>
      </c>
      <c r="C20" s="20">
        <v>1.5</v>
      </c>
      <c r="D20" s="21">
        <f t="shared" si="0"/>
        <v>5677.5</v>
      </c>
      <c r="E20" s="22">
        <f t="shared" si="1"/>
        <v>0.20140585008167977</v>
      </c>
      <c r="F20" s="21">
        <f t="shared" si="2"/>
        <v>30.210877512251965</v>
      </c>
      <c r="G20" s="22">
        <f>IF($B$7="","",INDEX(AccuracyTable!$C$2:$AF$31, MATCH($A20, AccuracyTable!$B$2:$B$31, 0), MATCH($B$7, AccuracyTable!$C$1:$AF$1, 0)))</f>
        <v>0.4224</v>
      </c>
      <c r="H20" s="22">
        <f>IF($B$8="","",INDEX(AccuracyTable!$C$2:$AF$31, MATCH($A20, AccuracyTable!$B$2:$B$31, 0), MATCH($B$8, AccuracyTable!$C$1:$AF$1, 0)))</f>
        <v>0.55349999999999999</v>
      </c>
      <c r="I20" s="22">
        <f>IF($B$9="","",INDEX(AccuracyTable!$C$2:$AF$31, MATCH($A20, AccuracyTable!$B$2:$B$31, 0), MATCH($B$9, AccuracyTable!$C$1:$AF$1, 0)))</f>
        <v>0.66430000000000011</v>
      </c>
      <c r="J20" s="22">
        <f>IF($B$10="","",INDEX(AccuracyTable!$C$2:$AF$31, MATCH($A20, AccuracyTable!$B$2:$B$31, 0), MATCH($B$10, AccuracyTable!$C$1:$AF$1, 0)))</f>
        <v>0.74120000000000008</v>
      </c>
      <c r="K20" s="21">
        <f t="shared" si="3"/>
        <v>12.761074661175231</v>
      </c>
      <c r="L20" s="21">
        <f t="shared" si="4"/>
        <v>16.721720703031462</v>
      </c>
      <c r="M20" s="21">
        <f t="shared" si="5"/>
        <v>20.069085931388983</v>
      </c>
      <c r="N20" s="21">
        <f t="shared" si="6"/>
        <v>22.392302412081158</v>
      </c>
    </row>
    <row r="21" spans="1:14" x14ac:dyDescent="0.25">
      <c r="A21" s="8" t="s">
        <v>64</v>
      </c>
      <c r="B21" s="7">
        <f>INDEX(AccuracyTable!$A$2:$A$31, MATCH($A21, AccuracyTable!$B$2:$B$31, 0))</f>
        <v>4374</v>
      </c>
      <c r="C21" s="20">
        <v>1.3</v>
      </c>
      <c r="D21" s="21">
        <f t="shared" si="0"/>
        <v>5686.2</v>
      </c>
      <c r="E21" s="22">
        <f t="shared" si="1"/>
        <v>0.20171447727599251</v>
      </c>
      <c r="F21" s="21">
        <f t="shared" si="2"/>
        <v>30.257171591398876</v>
      </c>
      <c r="G21" s="22">
        <f>IF($B$7="","",INDEX(AccuracyTable!$C$2:$AF$31, MATCH($A21, AccuracyTable!$B$2:$B$31, 0), MATCH($B$7, AccuracyTable!$C$1:$AF$1, 0)))</f>
        <v>0.3049</v>
      </c>
      <c r="H21" s="22">
        <f>IF($B$8="","",INDEX(AccuracyTable!$C$2:$AF$31, MATCH($A21, AccuracyTable!$B$2:$B$31, 0), MATCH($B$8, AccuracyTable!$C$1:$AF$1, 0)))</f>
        <v>0.436</v>
      </c>
      <c r="I21" s="22">
        <f>IF($B$9="","",INDEX(AccuracyTable!$C$2:$AF$31, MATCH($A21, AccuracyTable!$B$2:$B$31, 0), MATCH($B$9, AccuracyTable!$C$1:$AF$1, 0)))</f>
        <v>0.55479999999999996</v>
      </c>
      <c r="J21" s="22">
        <f>IF($B$10="","",INDEX(AccuracyTable!$C$2:$AF$31, MATCH($A21, AccuracyTable!$B$2:$B$31, 0), MATCH($B$10, AccuracyTable!$C$1:$AF$1, 0)))</f>
        <v>0.63519999999999999</v>
      </c>
      <c r="K21" s="21">
        <f t="shared" si="3"/>
        <v>9.2254116182175174</v>
      </c>
      <c r="L21" s="21">
        <f t="shared" si="4"/>
        <v>13.19212681384991</v>
      </c>
      <c r="M21" s="21">
        <f t="shared" si="5"/>
        <v>16.786678798908095</v>
      </c>
      <c r="N21" s="21">
        <f t="shared" si="6"/>
        <v>19.219355394856567</v>
      </c>
    </row>
    <row r="22" spans="1:14" x14ac:dyDescent="0.25">
      <c r="A22" s="8" t="s">
        <v>65</v>
      </c>
      <c r="B22" s="7">
        <f>INDEX(AccuracyTable!$A$2:$A$31, MATCH($A22, AccuracyTable!$B$2:$B$31, 0))</f>
        <v>4503</v>
      </c>
      <c r="C22" s="20">
        <v>1</v>
      </c>
      <c r="D22" s="21">
        <f t="shared" si="0"/>
        <v>4503</v>
      </c>
      <c r="E22" s="22">
        <f t="shared" si="1"/>
        <v>0.1597411788494591</v>
      </c>
      <c r="F22" s="21">
        <f t="shared" si="2"/>
        <v>23.961176827418864</v>
      </c>
      <c r="G22" s="22">
        <f>IF($B$7="","",INDEX(AccuracyTable!$C$2:$AF$31, MATCH($A22, AccuracyTable!$B$2:$B$31, 0), MATCH($B$7, AccuracyTable!$C$1:$AF$1, 0)))</f>
        <v>0.2072</v>
      </c>
      <c r="H22" s="22">
        <f>IF($B$8="","",INDEX(AccuracyTable!$C$2:$AF$31, MATCH($A22, AccuracyTable!$B$2:$B$31, 0), MATCH($B$8, AccuracyTable!$C$1:$AF$1, 0)))</f>
        <v>0.31900000000000001</v>
      </c>
      <c r="I22" s="22">
        <f>IF($B$9="","",INDEX(AccuracyTable!$C$2:$AF$31, MATCH($A22, AccuracyTable!$B$2:$B$31, 0), MATCH($B$9, AccuracyTable!$C$1:$AF$1, 0)))</f>
        <v>0.44230000000000003</v>
      </c>
      <c r="J22" s="22">
        <f>IF($B$10="","",INDEX(AccuracyTable!$C$2:$AF$31, MATCH($A22, AccuracyTable!$B$2:$B$31, 0), MATCH($B$10, AccuracyTable!$C$1:$AF$1, 0)))</f>
        <v>0.53110000000000002</v>
      </c>
      <c r="K22" s="21">
        <f t="shared" si="3"/>
        <v>4.9647558386411887</v>
      </c>
      <c r="L22" s="21">
        <f t="shared" si="4"/>
        <v>7.6436154079466174</v>
      </c>
      <c r="M22" s="21">
        <f t="shared" si="5"/>
        <v>10.598028510767364</v>
      </c>
      <c r="N22" s="21">
        <f t="shared" si="6"/>
        <v>12.725781013042159</v>
      </c>
    </row>
    <row r="23" spans="1:14" x14ac:dyDescent="0.25">
      <c r="A23" s="8" t="s">
        <v>66</v>
      </c>
      <c r="B23" s="7">
        <f>INDEX(AccuracyTable!$A$2:$A$31, MATCH($A23, AccuracyTable!$B$2:$B$31, 0))</f>
        <v>4470</v>
      </c>
      <c r="C23" s="20">
        <v>0.7</v>
      </c>
      <c r="D23" s="21">
        <f t="shared" si="0"/>
        <v>3129</v>
      </c>
      <c r="E23" s="22">
        <f t="shared" si="1"/>
        <v>0.1109993667821358</v>
      </c>
      <c r="F23" s="21">
        <f t="shared" si="2"/>
        <v>16.649905017320371</v>
      </c>
      <c r="G23" s="22">
        <f>IF($B$7="","",INDEX(AccuracyTable!$C$2:$AF$31, MATCH($A23, AccuracyTable!$B$2:$B$31, 0), MATCH($B$7, AccuracyTable!$C$1:$AF$1, 0)))</f>
        <v>0.14099999999999999</v>
      </c>
      <c r="H23" s="22">
        <f>IF($B$8="","",INDEX(AccuracyTable!$C$2:$AF$31, MATCH($A23, AccuracyTable!$B$2:$B$31, 0), MATCH($B$8, AccuracyTable!$C$1:$AF$1, 0)))</f>
        <v>0.22170000000000001</v>
      </c>
      <c r="I23" s="22">
        <f>IF($B$9="","",INDEX(AccuracyTable!$C$2:$AF$31, MATCH($A23, AccuracyTable!$B$2:$B$31, 0), MATCH($B$9, AccuracyTable!$C$1:$AF$1, 0)))</f>
        <v>0.33329999999999999</v>
      </c>
      <c r="J23" s="22">
        <f>IF($B$10="","",INDEX(AccuracyTable!$C$2:$AF$31, MATCH($A23, AccuracyTable!$B$2:$B$31, 0), MATCH($B$10, AccuracyTable!$C$1:$AF$1, 0)))</f>
        <v>0.42780000000000001</v>
      </c>
      <c r="K23" s="21">
        <f t="shared" si="3"/>
        <v>2.3476366074421722</v>
      </c>
      <c r="L23" s="21">
        <f t="shared" si="4"/>
        <v>3.6912839423399264</v>
      </c>
      <c r="M23" s="21">
        <f t="shared" si="5"/>
        <v>5.5494133422728797</v>
      </c>
      <c r="N23" s="21">
        <f t="shared" si="6"/>
        <v>7.1228293664096549</v>
      </c>
    </row>
    <row r="24" spans="1:14" x14ac:dyDescent="0.25">
      <c r="A24" s="8" t="s">
        <v>76</v>
      </c>
      <c r="B24" s="7">
        <f>INDEX(AccuracyTable!$A$2:$A$31, MATCH($A24, AccuracyTable!$B$2:$B$31, 0))</f>
        <v>1086</v>
      </c>
      <c r="C24" s="20">
        <v>0.8</v>
      </c>
      <c r="D24" s="21">
        <f t="shared" si="0"/>
        <v>868.80000000000007</v>
      </c>
      <c r="E24" s="22">
        <f t="shared" si="1"/>
        <v>3.0820150163093508E-2</v>
      </c>
      <c r="F24" s="21">
        <f t="shared" si="2"/>
        <v>4.6230225244640266</v>
      </c>
      <c r="G24" s="22">
        <f>IF($B$7="","",INDEX(AccuracyTable!$C$2:$AF$31, MATCH($A24, AccuracyTable!$B$2:$B$31, 0), MATCH($B$7, AccuracyTable!$C$1:$AF$1, 0)))</f>
        <v>0.94969999999999999</v>
      </c>
      <c r="H24" s="22">
        <f>IF($B$8="","",INDEX(AccuracyTable!$C$2:$AF$31, MATCH($A24, AccuracyTable!$B$2:$B$31, 0), MATCH($B$8, AccuracyTable!$C$1:$AF$1, 0)))</f>
        <v>0.95</v>
      </c>
      <c r="I24" s="22">
        <f>IF($B$9="","",INDEX(AccuracyTable!$C$2:$AF$31, MATCH($A24, AccuracyTable!$B$2:$B$31, 0), MATCH($B$9, AccuracyTable!$C$1:$AF$1, 0)))</f>
        <v>0.95</v>
      </c>
      <c r="J24" s="22">
        <f>IF($B$10="","",INDEX(AccuracyTable!$C$2:$AF$31, MATCH($A24, AccuracyTable!$B$2:$B$31, 0), MATCH($B$10, AccuracyTable!$C$1:$AF$1, 0)))</f>
        <v>0.95</v>
      </c>
      <c r="K24" s="21">
        <f t="shared" si="3"/>
        <v>4.3904844914834857</v>
      </c>
      <c r="L24" s="21">
        <f t="shared" si="4"/>
        <v>4.3918713982408253</v>
      </c>
      <c r="M24" s="21">
        <f t="shared" si="5"/>
        <v>4.3918713982408253</v>
      </c>
      <c r="N24" s="21">
        <f t="shared" si="6"/>
        <v>4.3918713982408253</v>
      </c>
    </row>
    <row r="25" spans="1:14" x14ac:dyDescent="0.25">
      <c r="A25" s="8" t="s">
        <v>77</v>
      </c>
      <c r="B25" s="7">
        <f>INDEX(AccuracyTable!$A$2:$A$31, MATCH($A25, AccuracyTable!$B$2:$B$31, 0))</f>
        <v>1821</v>
      </c>
      <c r="C25" s="20">
        <v>0.65</v>
      </c>
      <c r="D25" s="21">
        <f t="shared" si="0"/>
        <v>1183.6500000000001</v>
      </c>
      <c r="E25" s="22">
        <f t="shared" si="1"/>
        <v>4.1989261902101324E-2</v>
      </c>
      <c r="F25" s="21">
        <f t="shared" si="2"/>
        <v>6.2983892853151984</v>
      </c>
      <c r="G25" s="22">
        <f>IF($B$7="","",INDEX(AccuracyTable!$C$2:$AF$31, MATCH($A25, AccuracyTable!$B$2:$B$31, 0), MATCH($B$7, AccuracyTable!$C$1:$AF$1, 0)))</f>
        <v>0.94440000000000002</v>
      </c>
      <c r="H25" s="22">
        <f>IF($B$8="","",INDEX(AccuracyTable!$C$2:$AF$31, MATCH($A25, AccuracyTable!$B$2:$B$31, 0), MATCH($B$8, AccuracyTable!$C$1:$AF$1, 0)))</f>
        <v>0.95</v>
      </c>
      <c r="I25" s="22">
        <f>IF($B$9="","",INDEX(AccuracyTable!$C$2:$AF$31, MATCH($A25, AccuracyTable!$B$2:$B$31, 0), MATCH($B$9, AccuracyTable!$C$1:$AF$1, 0)))</f>
        <v>0.95</v>
      </c>
      <c r="J25" s="22">
        <f>IF($B$10="","",INDEX(AccuracyTable!$C$2:$AF$31, MATCH($A25, AccuracyTable!$B$2:$B$31, 0), MATCH($B$10, AccuracyTable!$C$1:$AF$1, 0)))</f>
        <v>0.95</v>
      </c>
      <c r="K25" s="21">
        <f t="shared" si="3"/>
        <v>5.9481988410516733</v>
      </c>
      <c r="L25" s="21">
        <f t="shared" si="4"/>
        <v>5.9834698210494386</v>
      </c>
      <c r="M25" s="21">
        <f t="shared" si="5"/>
        <v>5.9834698210494386</v>
      </c>
      <c r="N25" s="21">
        <f t="shared" si="6"/>
        <v>5.9834698210494386</v>
      </c>
    </row>
    <row r="26" spans="1:14" x14ac:dyDescent="0.25">
      <c r="A26" s="8" t="s">
        <v>78</v>
      </c>
      <c r="B26" s="7">
        <f>INDEX(AccuracyTable!$A$2:$A$31, MATCH($A26, AccuracyTable!$B$2:$B$31, 0))</f>
        <v>2278</v>
      </c>
      <c r="C26" s="20">
        <v>0.4</v>
      </c>
      <c r="D26" s="21">
        <f t="shared" si="0"/>
        <v>911.2</v>
      </c>
      <c r="E26" s="22">
        <f t="shared" si="1"/>
        <v>3.2324264305491256E-2</v>
      </c>
      <c r="F26" s="21">
        <f t="shared" si="2"/>
        <v>4.8486396458236882</v>
      </c>
      <c r="G26" s="22">
        <f>IF($B$7="","",INDEX(AccuracyTable!$C$2:$AF$31, MATCH($A26, AccuracyTable!$B$2:$B$31, 0), MATCH($B$7, AccuracyTable!$C$1:$AF$1, 0)))</f>
        <v>0.91249999999999998</v>
      </c>
      <c r="H26" s="22">
        <f>IF($B$8="","",INDEX(AccuracyTable!$C$2:$AF$31, MATCH($A26, AccuracyTable!$B$2:$B$31, 0), MATCH($B$8, AccuracyTable!$C$1:$AF$1, 0)))</f>
        <v>0.94790000000000008</v>
      </c>
      <c r="I26" s="22">
        <f>IF($B$9="","",INDEX(AccuracyTable!$C$2:$AF$31, MATCH($A26, AccuracyTable!$B$2:$B$31, 0), MATCH($B$9, AccuracyTable!$C$1:$AF$1, 0)))</f>
        <v>0.95</v>
      </c>
      <c r="J26" s="22">
        <f>IF($B$10="","",INDEX(AccuracyTable!$C$2:$AF$31, MATCH($A26, AccuracyTable!$B$2:$B$31, 0), MATCH($B$10, AccuracyTable!$C$1:$AF$1, 0)))</f>
        <v>0.95</v>
      </c>
      <c r="K26" s="21">
        <f t="shared" si="3"/>
        <v>4.4243836768141156</v>
      </c>
      <c r="L26" s="21">
        <f t="shared" si="4"/>
        <v>4.5960255202762745</v>
      </c>
      <c r="M26" s="21">
        <f t="shared" si="5"/>
        <v>4.606207663532504</v>
      </c>
      <c r="N26" s="21">
        <f t="shared" si="6"/>
        <v>4.606207663532504</v>
      </c>
    </row>
    <row r="27" spans="1:14" x14ac:dyDescent="0.25">
      <c r="A27" s="23" t="s">
        <v>122</v>
      </c>
      <c r="D27" s="24">
        <f>SUM($D$18:$D$26)</f>
        <v>28189.350000000002</v>
      </c>
      <c r="E27" s="25">
        <f>SUM($E$18:$E$26)</f>
        <v>1</v>
      </c>
      <c r="F27" s="24">
        <f>SUM($F$18:$F$26)</f>
        <v>150</v>
      </c>
      <c r="K27" s="24">
        <f>SUM($K$18:$K$26)</f>
        <v>63.703838683758214</v>
      </c>
      <c r="L27" s="24">
        <f>SUM($L$18:$L$26)</f>
        <v>79.618224595458912</v>
      </c>
      <c r="M27" s="24">
        <f>SUM($M$18:$M$26)</f>
        <v>94.507414555497022</v>
      </c>
      <c r="N27" s="24">
        <f>SUM($N$18:$N$26)</f>
        <v>104.98427512518025</v>
      </c>
    </row>
    <row r="29" spans="1:14" ht="30" x14ac:dyDescent="0.25">
      <c r="A29" s="17" t="s">
        <v>123</v>
      </c>
      <c r="K29" s="21">
        <f>IF($B$7="","",SUMPRODUCT($F$18:$F$26,$G$18:$G$26,(1-$G$18:$G$26)))</f>
        <v>28.492110894390965</v>
      </c>
      <c r="L29" s="21">
        <f>IF($B$8="","",SUMPRODUCT($F$18:$F$26,$H$18:$H$26,(1-$H$18:$H$26)))</f>
        <v>30.474679400640664</v>
      </c>
      <c r="M29" s="21">
        <f>IF($B$9="","",SUMPRODUCT($F$18:$F$26,$I$18:$I$26,(1-$I$18:$I$26)))</f>
        <v>29.761587347971837</v>
      </c>
      <c r="N29" s="21">
        <f>IF($B$10="","",SUMPRODUCT($F$18:$F$26,$J$18:$J$26,(1-$J$18:$J$26)))</f>
        <v>27.500950561871772</v>
      </c>
    </row>
    <row r="30" spans="1:14" ht="30" x14ac:dyDescent="0.25">
      <c r="A30" s="17" t="s">
        <v>124</v>
      </c>
      <c r="K30" s="21">
        <f>IF($B$7="","",SQRT(K29))</f>
        <v>5.3378001924379825</v>
      </c>
      <c r="L30" s="21">
        <f>IF($B$8="","",SQRT(L29))</f>
        <v>5.5203876132605636</v>
      </c>
      <c r="M30" s="21">
        <f>IF($B$9="","",SQRT(M29))</f>
        <v>5.4554181643547581</v>
      </c>
      <c r="N30" s="21">
        <f>IF($B$10="","",SQRT(N29))</f>
        <v>5.2441348725859225</v>
      </c>
    </row>
  </sheetData>
  <mergeCells count="4">
    <mergeCell ref="A3:C3"/>
    <mergeCell ref="D3:N3"/>
    <mergeCell ref="A6:C6"/>
    <mergeCell ref="A1:N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32"/>
  <sheetViews>
    <sheetView showGridLines="0" topLeftCell="A11" zoomScale="175" zoomScaleNormal="175" workbookViewId="0">
      <selection activeCell="A6" sqref="A6:C6"/>
    </sheetView>
  </sheetViews>
  <sheetFormatPr defaultRowHeight="15" x14ac:dyDescent="0.25"/>
  <cols>
    <col min="1" max="1" width="10" customWidth="1"/>
    <col min="2" max="2" width="8" customWidth="1"/>
    <col min="3" max="5" width="12" customWidth="1"/>
    <col min="6" max="6" width="13" customWidth="1"/>
    <col min="7" max="10" width="12" customWidth="1"/>
    <col min="11" max="14" width="14" customWidth="1"/>
  </cols>
  <sheetData>
    <row r="1" spans="1:14" x14ac:dyDescent="0.25">
      <c r="A1" s="32" t="s">
        <v>131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</row>
    <row r="3" spans="1:14" x14ac:dyDescent="0.25">
      <c r="A3" s="27" t="s">
        <v>86</v>
      </c>
      <c r="B3" s="28"/>
      <c r="C3" s="28"/>
      <c r="D3" s="27" t="s">
        <v>87</v>
      </c>
      <c r="E3" s="28"/>
      <c r="F3" s="28"/>
      <c r="G3" s="28"/>
      <c r="H3" s="28"/>
      <c r="I3" s="28"/>
      <c r="J3" s="28"/>
      <c r="K3" s="28"/>
      <c r="L3" s="28"/>
      <c r="M3" s="28"/>
      <c r="N3" s="28"/>
    </row>
    <row r="4" spans="1:14" ht="75" x14ac:dyDescent="0.25">
      <c r="A4" t="s">
        <v>88</v>
      </c>
      <c r="B4" s="10">
        <v>8</v>
      </c>
      <c r="D4" s="1" t="s">
        <v>89</v>
      </c>
      <c r="E4" s="11">
        <f>M29</f>
        <v>99.578021559694534</v>
      </c>
    </row>
    <row r="5" spans="1:14" ht="60" x14ac:dyDescent="0.25">
      <c r="A5" t="s">
        <v>90</v>
      </c>
      <c r="B5" s="12">
        <v>161</v>
      </c>
      <c r="D5" s="1" t="s">
        <v>91</v>
      </c>
      <c r="E5" s="13">
        <f>ROUNDUP($E$4,0)</f>
        <v>100</v>
      </c>
    </row>
    <row r="6" spans="1:14" x14ac:dyDescent="0.25">
      <c r="A6" s="31" t="s">
        <v>92</v>
      </c>
      <c r="B6" s="28"/>
      <c r="C6" s="28"/>
    </row>
    <row r="7" spans="1:14" ht="30" x14ac:dyDescent="0.25">
      <c r="A7" t="s">
        <v>93</v>
      </c>
      <c r="B7" s="14">
        <f>IF(OR($B$4-1&lt;0.5,$B$4-1&gt;15),"",$B$4-1)</f>
        <v>7</v>
      </c>
      <c r="D7" s="1" t="s">
        <v>94</v>
      </c>
      <c r="E7" s="15">
        <f>IF($B$7="",-1,IF(K32=0,IF(K29&gt;=$E$5,1,0),1-_xlfn.NORM.DIST($E$5-0.5,K29,K32,TRUE)))</f>
        <v>9.8763544058577679E-6</v>
      </c>
    </row>
    <row r="8" spans="1:14" ht="45" x14ac:dyDescent="0.25">
      <c r="A8" t="s">
        <v>95</v>
      </c>
      <c r="B8" s="14">
        <f>IF(OR($B$4-0.5&lt;0.5,$B$4-0.5&gt;15),"",$B$4-0.5)</f>
        <v>7.5</v>
      </c>
      <c r="D8" s="1" t="s">
        <v>96</v>
      </c>
      <c r="E8" s="15">
        <f>IF($B$8="",-1,IF(L32=0,IF(L29&gt;=$E$5,1,0),1-_xlfn.NORM.DIST($E$5-0.5,L29,L32,TRUE)))</f>
        <v>2.1367293658827724E-2</v>
      </c>
    </row>
    <row r="9" spans="1:14" ht="30" x14ac:dyDescent="0.25">
      <c r="A9" t="s">
        <v>97</v>
      </c>
      <c r="B9" s="14">
        <f>$B$4</f>
        <v>8</v>
      </c>
      <c r="D9" s="1" t="s">
        <v>98</v>
      </c>
      <c r="E9" s="15">
        <f>IF($B$9="",-1,IF(M32=0,IF(M29&gt;=$E$5,1,0),1-_xlfn.NORM.DIST($E$5-0.5,M29,M32,TRUE)))</f>
        <v>0.50553341353889669</v>
      </c>
    </row>
    <row r="10" spans="1:14" ht="45" x14ac:dyDescent="0.25">
      <c r="A10" t="s">
        <v>99</v>
      </c>
      <c r="B10" s="14">
        <f>IF(OR($B$4+0.5&lt;0.5,$B$4+0.5&gt;15),"",$B$4+0.5)</f>
        <v>8.5</v>
      </c>
      <c r="D10" s="1" t="s">
        <v>100</v>
      </c>
      <c r="E10" s="15">
        <f>IF($B$10="",-1,IF(N32=0,IF(N29&gt;=$E$5,1,0),1-_xlfn.NORM.DIST($E$5-0.5,N29,N32,TRUE)))</f>
        <v>0.95825935655992456</v>
      </c>
    </row>
    <row r="11" spans="1:14" x14ac:dyDescent="0.25">
      <c r="E11" s="16" t="s">
        <v>101</v>
      </c>
      <c r="F11" s="16" t="s">
        <v>102</v>
      </c>
      <c r="G11" s="16" t="s">
        <v>103</v>
      </c>
      <c r="H11" s="16" t="s">
        <v>104</v>
      </c>
    </row>
    <row r="12" spans="1:14" ht="30" x14ac:dyDescent="0.25">
      <c r="D12" s="17" t="s">
        <v>105</v>
      </c>
      <c r="E12" s="18">
        <f>IF($B$7="","",K29)</f>
        <v>75.594616146848296</v>
      </c>
      <c r="F12" s="18">
        <f>IF($B$8="","",L29)</f>
        <v>87.999139411553472</v>
      </c>
      <c r="G12" s="18">
        <f>IF($B$9="","",M29)</f>
        <v>99.578021559694534</v>
      </c>
      <c r="H12" s="18">
        <f>IF($B$10="","",N29)</f>
        <v>108.98383840128318</v>
      </c>
    </row>
    <row r="13" spans="1:14" x14ac:dyDescent="0.25">
      <c r="D13" s="17" t="s">
        <v>106</v>
      </c>
      <c r="E13" s="19">
        <f>IF($B$7="","",K29/$B$5)</f>
        <v>0.46953177730961676</v>
      </c>
      <c r="F13" s="19">
        <f>IF($B$8="","",L29/$B$5)</f>
        <v>0.54657850566182276</v>
      </c>
      <c r="G13" s="19">
        <f>IF($B$9="","",M29/$B$5)</f>
        <v>0.61849702832108411</v>
      </c>
      <c r="H13" s="19">
        <f>IF($B$10="","",N29/$B$5)</f>
        <v>0.67691825093964708</v>
      </c>
    </row>
    <row r="14" spans="1:14" ht="30" x14ac:dyDescent="0.25">
      <c r="D14" s="17" t="s">
        <v>107</v>
      </c>
      <c r="E14" s="18">
        <f>IF($B$7="","",K32)</f>
        <v>5.6015098596882309</v>
      </c>
      <c r="F14" s="18">
        <f>IF($B$8="","",L32)</f>
        <v>5.6758082694763585</v>
      </c>
      <c r="G14" s="18">
        <f>IF($B$9="","",M32)</f>
        <v>5.6249366996113963</v>
      </c>
      <c r="H14" s="18">
        <f>IF($B$10="","",N32)</f>
        <v>5.4793444478935909</v>
      </c>
    </row>
    <row r="17" spans="1:16" ht="30" x14ac:dyDescent="0.25">
      <c r="A17" s="3" t="s">
        <v>108</v>
      </c>
      <c r="B17" s="3" t="s">
        <v>109</v>
      </c>
      <c r="C17" s="3" t="s">
        <v>110</v>
      </c>
      <c r="D17" s="3" t="s">
        <v>111</v>
      </c>
      <c r="E17" s="3" t="s">
        <v>112</v>
      </c>
      <c r="F17" s="3" t="s">
        <v>113</v>
      </c>
      <c r="G17" s="3" t="s">
        <v>114</v>
      </c>
      <c r="H17" s="3" t="s">
        <v>115</v>
      </c>
      <c r="I17" s="3" t="s">
        <v>116</v>
      </c>
      <c r="J17" s="3" t="s">
        <v>117</v>
      </c>
      <c r="K17" s="3" t="s">
        <v>118</v>
      </c>
      <c r="L17" s="3" t="s">
        <v>119</v>
      </c>
      <c r="M17" s="3" t="s">
        <v>120</v>
      </c>
      <c r="N17" s="3" t="s">
        <v>121</v>
      </c>
    </row>
    <row r="18" spans="1:16" x14ac:dyDescent="0.25">
      <c r="A18" s="8" t="s">
        <v>61</v>
      </c>
      <c r="B18" s="7">
        <f>INDEX(AccuracyTable!$A$2:$A$31, MATCH($A18, AccuracyTable!$B$2:$B$31, 0))</f>
        <v>2021</v>
      </c>
      <c r="C18" s="20">
        <v>0.7</v>
      </c>
      <c r="D18" s="21">
        <f t="shared" ref="D18:D28" si="0">B18*C18</f>
        <v>1414.6999999999998</v>
      </c>
      <c r="E18" s="22">
        <f t="shared" ref="E18:E28" si="1">D18/SUM($D$18:$D$28)</f>
        <v>3.3867994541667661E-2</v>
      </c>
      <c r="F18" s="21">
        <f t="shared" ref="F18:F28" si="2">$B$5*E18</f>
        <v>5.4527471212084935</v>
      </c>
      <c r="G18" s="22">
        <f>IF($B$7="","",INDEX(AccuracyTable!$C$2:$AF$31, MATCH($A18, AccuracyTable!$B$2:$B$31, 0), MATCH($B$7, AccuracyTable!$C$1:$AF$1, 0)))</f>
        <v>0.88370000000000004</v>
      </c>
      <c r="H18" s="22">
        <f>IF($B$8="","",INDEX(AccuracyTable!$C$2:$AF$31, MATCH($A18, AccuracyTable!$B$2:$B$31, 0), MATCH($B$8, AccuracyTable!$C$1:$AF$1, 0)))</f>
        <v>0.92489999999999994</v>
      </c>
      <c r="I18" s="22">
        <f>IF($B$9="","",INDEX(AccuracyTable!$C$2:$AF$31, MATCH($A18, AccuracyTable!$B$2:$B$31, 0), MATCH($B$9, AccuracyTable!$C$1:$AF$1, 0)))</f>
        <v>0.94420000000000004</v>
      </c>
      <c r="J18" s="22">
        <f>IF($B$10="","",INDEX(AccuracyTable!$C$2:$AF$31, MATCH($A18, AccuracyTable!$B$2:$B$31, 0), MATCH($B$10, AccuracyTable!$C$1:$AF$1, 0)))</f>
        <v>0.94930000000000003</v>
      </c>
      <c r="K18" s="21">
        <f t="shared" ref="K18:K28" si="3">IF($B$7="","",F18*G18)</f>
        <v>4.8185926310119456</v>
      </c>
      <c r="L18" s="21">
        <f t="shared" ref="L18:L28" si="4">IF($B$8="","",F18*H18)</f>
        <v>5.0432458124057353</v>
      </c>
      <c r="M18" s="21">
        <f t="shared" ref="M18:M28" si="5">IF($B$9="","",F18*I18)</f>
        <v>5.1484838318450601</v>
      </c>
      <c r="N18" s="21">
        <f t="shared" ref="N18:N28" si="6">IF($B$10="","",F18*J18)</f>
        <v>5.1762928421632228</v>
      </c>
      <c r="P18" s="26">
        <f>I18-H18</f>
        <v>1.9300000000000095E-2</v>
      </c>
    </row>
    <row r="19" spans="1:16" x14ac:dyDescent="0.25">
      <c r="A19" s="8" t="s">
        <v>62</v>
      </c>
      <c r="B19" s="7">
        <f>INDEX(AccuracyTable!$A$2:$A$31, MATCH($A19, AccuracyTable!$B$2:$B$31, 0))</f>
        <v>2806</v>
      </c>
      <c r="C19" s="20">
        <v>1</v>
      </c>
      <c r="D19" s="21">
        <f t="shared" si="0"/>
        <v>2806</v>
      </c>
      <c r="E19" s="22">
        <f t="shared" si="1"/>
        <v>6.7175791817289512E-2</v>
      </c>
      <c r="F19" s="21">
        <f t="shared" si="2"/>
        <v>10.815302482583611</v>
      </c>
      <c r="G19" s="22">
        <f>IF($B$7="","",INDEX(AccuracyTable!$C$2:$AF$31, MATCH($A19, AccuracyTable!$B$2:$B$31, 0), MATCH($B$7, AccuracyTable!$C$1:$AF$1, 0)))</f>
        <v>0.75989999999999991</v>
      </c>
      <c r="H19" s="22">
        <f>IF($B$8="","",INDEX(AccuracyTable!$C$2:$AF$31, MATCH($A19, AccuracyTable!$B$2:$B$31, 0), MATCH($B$8, AccuracyTable!$C$1:$AF$1, 0)))</f>
        <v>0.83030000000000004</v>
      </c>
      <c r="I19" s="22">
        <f>IF($B$9="","",INDEX(AccuracyTable!$C$2:$AF$31, MATCH($A19, AccuracyTable!$B$2:$B$31, 0), MATCH($B$9, AccuracyTable!$C$1:$AF$1, 0)))</f>
        <v>0.88849999999999996</v>
      </c>
      <c r="J19" s="22">
        <f>IF($B$10="","",INDEX(AccuracyTable!$C$2:$AF$31, MATCH($A19, AccuracyTable!$B$2:$B$31, 0), MATCH($B$10, AccuracyTable!$C$1:$AF$1, 0)))</f>
        <v>0.92569999999999997</v>
      </c>
      <c r="K19" s="21">
        <f t="shared" si="3"/>
        <v>8.218548356515285</v>
      </c>
      <c r="L19" s="21">
        <f t="shared" si="4"/>
        <v>8.9799456512891727</v>
      </c>
      <c r="M19" s="21">
        <f t="shared" si="5"/>
        <v>9.6093962557755379</v>
      </c>
      <c r="N19" s="21">
        <f t="shared" si="6"/>
        <v>10.011725508127649</v>
      </c>
      <c r="P19" s="26">
        <f t="shared" ref="P19:P28" si="7">I19-H19</f>
        <v>5.8199999999999918E-2</v>
      </c>
    </row>
    <row r="20" spans="1:16" x14ac:dyDescent="0.25">
      <c r="A20" s="8" t="s">
        <v>63</v>
      </c>
      <c r="B20" s="7">
        <f>INDEX(AccuracyTable!$A$2:$A$31, MATCH($A20, AccuracyTable!$B$2:$B$31, 0))</f>
        <v>3785</v>
      </c>
      <c r="C20" s="20">
        <v>1.5</v>
      </c>
      <c r="D20" s="21">
        <f t="shared" si="0"/>
        <v>5677.5</v>
      </c>
      <c r="E20" s="22">
        <f t="shared" si="1"/>
        <v>0.13591965717842522</v>
      </c>
      <c r="F20" s="21">
        <f t="shared" si="2"/>
        <v>21.883064805726459</v>
      </c>
      <c r="G20" s="22">
        <f>IF($B$7="","",INDEX(AccuracyTable!$C$2:$AF$31, MATCH($A20, AccuracyTable!$B$2:$B$31, 0), MATCH($B$7, AccuracyTable!$C$1:$AF$1, 0)))</f>
        <v>0.66430000000000011</v>
      </c>
      <c r="H20" s="22">
        <f>IF($B$8="","",INDEX(AccuracyTable!$C$2:$AF$31, MATCH($A20, AccuracyTable!$B$2:$B$31, 0), MATCH($B$8, AccuracyTable!$C$1:$AF$1, 0)))</f>
        <v>0.74120000000000008</v>
      </c>
      <c r="I20" s="22">
        <f>IF($B$9="","",INDEX(AccuracyTable!$C$2:$AF$31, MATCH($A20, AccuracyTable!$B$2:$B$31, 0), MATCH($B$9, AccuracyTable!$C$1:$AF$1, 0)))</f>
        <v>0.80819999999999992</v>
      </c>
      <c r="J20" s="22">
        <f>IF($B$10="","",INDEX(AccuracyTable!$C$2:$AF$31, MATCH($A20, AccuracyTable!$B$2:$B$31, 0), MATCH($B$10, AccuracyTable!$C$1:$AF$1, 0)))</f>
        <v>0.86150000000000004</v>
      </c>
      <c r="K20" s="21">
        <f t="shared" si="3"/>
        <v>14.536919950444089</v>
      </c>
      <c r="L20" s="21">
        <f t="shared" si="4"/>
        <v>16.219727634004453</v>
      </c>
      <c r="M20" s="21">
        <f t="shared" si="5"/>
        <v>17.685892975988121</v>
      </c>
      <c r="N20" s="21">
        <f t="shared" si="6"/>
        <v>18.852260330133344</v>
      </c>
      <c r="P20" s="26">
        <f t="shared" si="7"/>
        <v>6.6999999999999837E-2</v>
      </c>
    </row>
    <row r="21" spans="1:16" x14ac:dyDescent="0.25">
      <c r="A21" s="8" t="s">
        <v>64</v>
      </c>
      <c r="B21" s="7">
        <f>INDEX(AccuracyTable!$A$2:$A$31, MATCH($A21, AccuracyTable!$B$2:$B$31, 0))</f>
        <v>4374</v>
      </c>
      <c r="C21" s="20">
        <v>1.3</v>
      </c>
      <c r="D21" s="21">
        <f t="shared" si="0"/>
        <v>5686.2</v>
      </c>
      <c r="E21" s="22">
        <f t="shared" si="1"/>
        <v>0.13612793564913456</v>
      </c>
      <c r="F21" s="21">
        <f t="shared" si="2"/>
        <v>21.916597639510663</v>
      </c>
      <c r="G21" s="22">
        <f>IF($B$7="","",INDEX(AccuracyTable!$C$2:$AF$31, MATCH($A21, AccuracyTable!$B$2:$B$31, 0), MATCH($B$7, AccuracyTable!$C$1:$AF$1, 0)))</f>
        <v>0.55479999999999996</v>
      </c>
      <c r="H21" s="22">
        <f>IF($B$8="","",INDEX(AccuracyTable!$C$2:$AF$31, MATCH($A21, AccuracyTable!$B$2:$B$31, 0), MATCH($B$8, AccuracyTable!$C$1:$AF$1, 0)))</f>
        <v>0.63519999999999999</v>
      </c>
      <c r="I21" s="22">
        <f>IF($B$9="","",INDEX(AccuracyTable!$C$2:$AF$31, MATCH($A21, AccuracyTable!$B$2:$B$31, 0), MATCH($B$9, AccuracyTable!$C$1:$AF$1, 0)))</f>
        <v>0.70440000000000003</v>
      </c>
      <c r="J21" s="22">
        <f>IF($B$10="","",INDEX(AccuracyTable!$C$2:$AF$31, MATCH($A21, AccuracyTable!$B$2:$B$31, 0), MATCH($B$10, AccuracyTable!$C$1:$AF$1, 0)))</f>
        <v>0.76139999999999997</v>
      </c>
      <c r="K21" s="21">
        <f t="shared" si="3"/>
        <v>12.159328370400514</v>
      </c>
      <c r="L21" s="21">
        <f t="shared" si="4"/>
        <v>13.921422820617172</v>
      </c>
      <c r="M21" s="21">
        <f t="shared" si="5"/>
        <v>15.438051377271311</v>
      </c>
      <c r="N21" s="21">
        <f t="shared" si="6"/>
        <v>16.687297442723416</v>
      </c>
      <c r="P21" s="26">
        <f t="shared" si="7"/>
        <v>6.9200000000000039E-2</v>
      </c>
    </row>
    <row r="22" spans="1:16" x14ac:dyDescent="0.25">
      <c r="A22" s="8" t="s">
        <v>65</v>
      </c>
      <c r="B22" s="7">
        <f>INDEX(AccuracyTable!$A$2:$A$31, MATCH($A22, AccuracyTable!$B$2:$B$31, 0))</f>
        <v>4503</v>
      </c>
      <c r="C22" s="20">
        <v>1.3</v>
      </c>
      <c r="D22" s="21">
        <f t="shared" si="0"/>
        <v>5853.9000000000005</v>
      </c>
      <c r="E22" s="22">
        <f t="shared" si="1"/>
        <v>0.14014268272246297</v>
      </c>
      <c r="F22" s="21">
        <f t="shared" si="2"/>
        <v>22.562971918316538</v>
      </c>
      <c r="G22" s="22">
        <f>IF($B$7="","",INDEX(AccuracyTable!$C$2:$AF$31, MATCH($A22, AccuracyTable!$B$2:$B$31, 0), MATCH($B$7, AccuracyTable!$C$1:$AF$1, 0)))</f>
        <v>0.44230000000000003</v>
      </c>
      <c r="H22" s="22">
        <f>IF($B$8="","",INDEX(AccuracyTable!$C$2:$AF$31, MATCH($A22, AccuracyTable!$B$2:$B$31, 0), MATCH($B$8, AccuracyTable!$C$1:$AF$1, 0)))</f>
        <v>0.53110000000000002</v>
      </c>
      <c r="I22" s="22">
        <f>IF($B$9="","",INDEX(AccuracyTable!$C$2:$AF$31, MATCH($A22, AccuracyTable!$B$2:$B$31, 0), MATCH($B$9, AccuracyTable!$C$1:$AF$1, 0)))</f>
        <v>0.60750000000000004</v>
      </c>
      <c r="J22" s="22">
        <f>IF($B$10="","",INDEX(AccuracyTable!$C$2:$AF$31, MATCH($A22, AccuracyTable!$B$2:$B$31, 0), MATCH($B$10, AccuracyTable!$C$1:$AF$1, 0)))</f>
        <v>0.66879999999999995</v>
      </c>
      <c r="K22" s="21">
        <f t="shared" si="3"/>
        <v>9.9796024794714064</v>
      </c>
      <c r="L22" s="21">
        <f t="shared" si="4"/>
        <v>11.983194385817914</v>
      </c>
      <c r="M22" s="21">
        <f t="shared" si="5"/>
        <v>13.707005440377298</v>
      </c>
      <c r="N22" s="21">
        <f t="shared" si="6"/>
        <v>15.090115618970099</v>
      </c>
      <c r="P22" s="26">
        <f t="shared" si="7"/>
        <v>7.6400000000000023E-2</v>
      </c>
    </row>
    <row r="23" spans="1:16" x14ac:dyDescent="0.25">
      <c r="A23" s="8" t="s">
        <v>66</v>
      </c>
      <c r="B23" s="7">
        <f>INDEX(AccuracyTable!$A$2:$A$31, MATCH($A23, AccuracyTable!$B$2:$B$31, 0))</f>
        <v>4470</v>
      </c>
      <c r="C23" s="20">
        <v>1.3</v>
      </c>
      <c r="D23" s="21">
        <f t="shared" si="0"/>
        <v>5811</v>
      </c>
      <c r="E23" s="22">
        <f t="shared" si="1"/>
        <v>0.13911565440137894</v>
      </c>
      <c r="F23" s="21">
        <f t="shared" si="2"/>
        <v>22.39762035862201</v>
      </c>
      <c r="G23" s="22">
        <f>IF($B$7="","",INDEX(AccuracyTable!$C$2:$AF$31, MATCH($A23, AccuracyTable!$B$2:$B$31, 0), MATCH($B$7, AccuracyTable!$C$1:$AF$1, 0)))</f>
        <v>0.33329999999999999</v>
      </c>
      <c r="H23" s="22">
        <f>IF($B$8="","",INDEX(AccuracyTable!$C$2:$AF$31, MATCH($A23, AccuracyTable!$B$2:$B$31, 0), MATCH($B$8, AccuracyTable!$C$1:$AF$1, 0)))</f>
        <v>0.42780000000000001</v>
      </c>
      <c r="I23" s="22">
        <f>IF($B$9="","",INDEX(AccuracyTable!$C$2:$AF$31, MATCH($A23, AccuracyTable!$B$2:$B$31, 0), MATCH($B$9, AccuracyTable!$C$1:$AF$1, 0)))</f>
        <v>0.51180000000000003</v>
      </c>
      <c r="J23" s="22">
        <f>IF($B$10="","",INDEX(AccuracyTable!$C$2:$AF$31, MATCH($A23, AccuracyTable!$B$2:$B$31, 0), MATCH($B$10, AccuracyTable!$C$1:$AF$1, 0)))</f>
        <v>0.57830000000000004</v>
      </c>
      <c r="K23" s="21">
        <f t="shared" si="3"/>
        <v>7.465126865528716</v>
      </c>
      <c r="L23" s="21">
        <f t="shared" si="4"/>
        <v>9.5817019894184963</v>
      </c>
      <c r="M23" s="21">
        <f t="shared" si="5"/>
        <v>11.463102099542745</v>
      </c>
      <c r="N23" s="21">
        <f t="shared" si="6"/>
        <v>12.952543853391109</v>
      </c>
      <c r="P23" s="26">
        <f t="shared" si="7"/>
        <v>8.4000000000000019E-2</v>
      </c>
    </row>
    <row r="24" spans="1:16" x14ac:dyDescent="0.25">
      <c r="A24" s="8" t="s">
        <v>67</v>
      </c>
      <c r="B24" s="7">
        <f>INDEX(AccuracyTable!$A$2:$A$31, MATCH($A24, AccuracyTable!$B$2:$B$31, 0))</f>
        <v>4276</v>
      </c>
      <c r="C24" s="20">
        <v>1.5</v>
      </c>
      <c r="D24" s="21">
        <f t="shared" si="0"/>
        <v>6414</v>
      </c>
      <c r="E24" s="22">
        <f t="shared" si="1"/>
        <v>0.15355150702640588</v>
      </c>
      <c r="F24" s="21">
        <f t="shared" si="2"/>
        <v>24.721792631251347</v>
      </c>
      <c r="G24" s="22">
        <f>IF($B$7="","",INDEX(AccuracyTable!$C$2:$AF$31, MATCH($A24, AccuracyTable!$B$2:$B$31, 0), MATCH($B$7, AccuracyTable!$C$1:$AF$1, 0)))</f>
        <v>0.23519999999999999</v>
      </c>
      <c r="H24" s="22">
        <f>IF($B$8="","",INDEX(AccuracyTable!$C$2:$AF$31, MATCH($A24, AccuracyTable!$B$2:$B$31, 0), MATCH($B$8, AccuracyTable!$C$1:$AF$1, 0)))</f>
        <v>0.32519999999999999</v>
      </c>
      <c r="I24" s="22">
        <f>IF($B$9="","",INDEX(AccuracyTable!$C$2:$AF$31, MATCH($A24, AccuracyTable!$B$2:$B$31, 0), MATCH($B$9, AccuracyTable!$C$1:$AF$1, 0)))</f>
        <v>0.41720000000000002</v>
      </c>
      <c r="J24" s="22">
        <f>IF($B$10="","",INDEX(AccuracyTable!$C$2:$AF$31, MATCH($A24, AccuracyTable!$B$2:$B$31, 0), MATCH($B$10, AccuracyTable!$C$1:$AF$1, 0)))</f>
        <v>0.49249999999999999</v>
      </c>
      <c r="K24" s="21">
        <f t="shared" si="3"/>
        <v>5.8145656268703165</v>
      </c>
      <c r="L24" s="21">
        <f t="shared" si="4"/>
        <v>8.0395269636829383</v>
      </c>
      <c r="M24" s="21">
        <f t="shared" si="5"/>
        <v>10.313931885758063</v>
      </c>
      <c r="N24" s="21">
        <f t="shared" si="6"/>
        <v>12.175482870891289</v>
      </c>
      <c r="P24" s="26">
        <f t="shared" si="7"/>
        <v>9.2000000000000026E-2</v>
      </c>
    </row>
    <row r="25" spans="1:16" x14ac:dyDescent="0.25">
      <c r="A25" s="8" t="s">
        <v>68</v>
      </c>
      <c r="B25" s="7">
        <f>INDEX(AccuracyTable!$A$2:$A$31, MATCH($A25, AccuracyTable!$B$2:$B$31, 0))</f>
        <v>4380</v>
      </c>
      <c r="C25" s="20">
        <v>1.3</v>
      </c>
      <c r="D25" s="21">
        <f t="shared" si="0"/>
        <v>5694</v>
      </c>
      <c r="E25" s="22">
        <f t="shared" si="1"/>
        <v>0.13631466807114984</v>
      </c>
      <c r="F25" s="21">
        <f t="shared" si="2"/>
        <v>21.946661559455123</v>
      </c>
      <c r="G25" s="22">
        <f>IF($B$7="","",INDEX(AccuracyTable!$C$2:$AF$31, MATCH($A25, AccuracyTable!$B$2:$B$31, 0), MATCH($B$7, AccuracyTable!$C$1:$AF$1, 0)))</f>
        <v>0.17150000000000001</v>
      </c>
      <c r="H25" s="22">
        <f>IF($B$8="","",INDEX(AccuracyTable!$C$2:$AF$31, MATCH($A25, AccuracyTable!$B$2:$B$31, 0), MATCH($B$8, AccuracyTable!$C$1:$AF$1, 0)))</f>
        <v>0.2457</v>
      </c>
      <c r="I25" s="22">
        <f>IF($B$9="","",INDEX(AccuracyTable!$C$2:$AF$31, MATCH($A25, AccuracyTable!$B$2:$B$31, 0), MATCH($B$9, AccuracyTable!$C$1:$AF$1, 0)))</f>
        <v>0.33600000000000002</v>
      </c>
      <c r="J25" s="22">
        <f>IF($B$10="","",INDEX(AccuracyTable!$C$2:$AF$31, MATCH($A25, AccuracyTable!$B$2:$B$31, 0), MATCH($B$10, AccuracyTable!$C$1:$AF$1, 0)))</f>
        <v>0.41920000000000002</v>
      </c>
      <c r="K25" s="21">
        <f t="shared" si="3"/>
        <v>3.7638524574465539</v>
      </c>
      <c r="L25" s="21">
        <f t="shared" si="4"/>
        <v>5.3922947451581233</v>
      </c>
      <c r="M25" s="21">
        <f t="shared" si="5"/>
        <v>7.3740782839769219</v>
      </c>
      <c r="N25" s="21">
        <f t="shared" si="6"/>
        <v>9.2000405257235887</v>
      </c>
      <c r="P25" s="26">
        <f t="shared" si="7"/>
        <v>9.0300000000000019E-2</v>
      </c>
    </row>
    <row r="26" spans="1:16" x14ac:dyDescent="0.25">
      <c r="A26" s="8" t="s">
        <v>77</v>
      </c>
      <c r="B26" s="7">
        <f>INDEX(AccuracyTable!$A$2:$A$31, MATCH($A26, AccuracyTable!$B$2:$B$31, 0))</f>
        <v>1821</v>
      </c>
      <c r="C26" s="20">
        <v>0.7</v>
      </c>
      <c r="D26" s="21">
        <f t="shared" si="0"/>
        <v>1274.6999999999998</v>
      </c>
      <c r="E26" s="22">
        <f t="shared" si="1"/>
        <v>3.0516386967034542E-2</v>
      </c>
      <c r="F26" s="21">
        <f t="shared" si="2"/>
        <v>4.9131383016925616</v>
      </c>
      <c r="G26" s="22">
        <f>IF($B$7="","",INDEX(AccuracyTable!$C$2:$AF$31, MATCH($A26, AccuracyTable!$B$2:$B$31, 0), MATCH($B$7, AccuracyTable!$C$1:$AF$1, 0)))</f>
        <v>0.95</v>
      </c>
      <c r="H26" s="22">
        <f>IF($B$8="","",INDEX(AccuracyTable!$C$2:$AF$31, MATCH($A26, AccuracyTable!$B$2:$B$31, 0), MATCH($B$8, AccuracyTable!$C$1:$AF$1, 0)))</f>
        <v>0.95</v>
      </c>
      <c r="I26" s="22">
        <f>IF($B$9="","",INDEX(AccuracyTable!$C$2:$AF$31, MATCH($A26, AccuracyTable!$B$2:$B$31, 0), MATCH($B$9, AccuracyTable!$C$1:$AF$1, 0)))</f>
        <v>0.95</v>
      </c>
      <c r="J26" s="22">
        <f>IF($B$10="","",INDEX(AccuracyTable!$C$2:$AF$31, MATCH($A26, AccuracyTable!$B$2:$B$31, 0), MATCH($B$10, AccuracyTable!$C$1:$AF$1, 0)))</f>
        <v>0.95</v>
      </c>
      <c r="K26" s="21">
        <f t="shared" si="3"/>
        <v>4.6674813866079337</v>
      </c>
      <c r="L26" s="21">
        <f t="shared" si="4"/>
        <v>4.6674813866079337</v>
      </c>
      <c r="M26" s="21">
        <f t="shared" si="5"/>
        <v>4.6674813866079337</v>
      </c>
      <c r="N26" s="21">
        <f t="shared" si="6"/>
        <v>4.6674813866079337</v>
      </c>
      <c r="P26" s="26">
        <f t="shared" si="7"/>
        <v>0</v>
      </c>
    </row>
    <row r="27" spans="1:16" x14ac:dyDescent="0.25">
      <c r="A27" s="8" t="s">
        <v>78</v>
      </c>
      <c r="B27" s="7">
        <f>INDEX(AccuracyTable!$A$2:$A$31, MATCH($A27, AccuracyTable!$B$2:$B$31, 0))</f>
        <v>2278</v>
      </c>
      <c r="C27" s="20">
        <v>0.5</v>
      </c>
      <c r="D27" s="21">
        <f t="shared" si="0"/>
        <v>1139</v>
      </c>
      <c r="E27" s="22">
        <f t="shared" si="1"/>
        <v>2.7267721625050874E-2</v>
      </c>
      <c r="F27" s="21">
        <f t="shared" si="2"/>
        <v>4.390103181633191</v>
      </c>
      <c r="G27" s="22">
        <f>IF($B$7="","",INDEX(AccuracyTable!$C$2:$AF$31, MATCH($A27, AccuracyTable!$B$2:$B$31, 0), MATCH($B$7, AccuracyTable!$C$1:$AF$1, 0)))</f>
        <v>0.95</v>
      </c>
      <c r="H27" s="22">
        <f>IF($B$8="","",INDEX(AccuracyTable!$C$2:$AF$31, MATCH($A27, AccuracyTable!$B$2:$B$31, 0), MATCH($B$8, AccuracyTable!$C$1:$AF$1, 0)))</f>
        <v>0.95</v>
      </c>
      <c r="I27" s="22">
        <f>IF($B$9="","",INDEX(AccuracyTable!$C$2:$AF$31, MATCH($A27, AccuracyTable!$B$2:$B$31, 0), MATCH($B$9, AccuracyTable!$C$1:$AF$1, 0)))</f>
        <v>0.95</v>
      </c>
      <c r="J27" s="22">
        <f>IF($B$10="","",INDEX(AccuracyTable!$C$2:$AF$31, MATCH($A27, AccuracyTable!$B$2:$B$31, 0), MATCH($B$10, AccuracyTable!$C$1:$AF$1, 0)))</f>
        <v>0.95</v>
      </c>
      <c r="K27" s="21">
        <f t="shared" si="3"/>
        <v>4.1705980225515313</v>
      </c>
      <c r="L27" s="21">
        <f t="shared" si="4"/>
        <v>4.1705980225515313</v>
      </c>
      <c r="M27" s="21">
        <f t="shared" si="5"/>
        <v>4.1705980225515313</v>
      </c>
      <c r="N27" s="21">
        <f t="shared" si="6"/>
        <v>4.1705980225515313</v>
      </c>
      <c r="P27" s="26">
        <f t="shared" si="7"/>
        <v>0</v>
      </c>
    </row>
    <row r="28" spans="1:16" x14ac:dyDescent="0.25">
      <c r="A28" s="8" t="s">
        <v>79</v>
      </c>
      <c r="B28" s="7">
        <f>INDEX(AccuracyTable!$A$2:$A$31, MATCH($A28, AccuracyTable!$B$2:$B$31, 0))</f>
        <v>2558</v>
      </c>
      <c r="C28" s="20">
        <v>0</v>
      </c>
      <c r="D28" s="21">
        <f t="shared" si="0"/>
        <v>0</v>
      </c>
      <c r="E28" s="22">
        <f t="shared" si="1"/>
        <v>0</v>
      </c>
      <c r="F28" s="21">
        <f t="shared" si="2"/>
        <v>0</v>
      </c>
      <c r="G28" s="22">
        <f>IF($B$7="","",INDEX(AccuracyTable!$C$2:$AF$31, MATCH($A28, AccuracyTable!$B$2:$B$31, 0), MATCH($B$7, AccuracyTable!$C$1:$AF$1, 0)))</f>
        <v>0.94940000000000002</v>
      </c>
      <c r="H28" s="22">
        <f>IF($B$8="","",INDEX(AccuracyTable!$C$2:$AF$31, MATCH($A28, AccuracyTable!$B$2:$B$31, 0), MATCH($B$8, AccuracyTable!$C$1:$AF$1, 0)))</f>
        <v>0.95</v>
      </c>
      <c r="I28" s="22">
        <f>IF($B$9="","",INDEX(AccuracyTable!$C$2:$AF$31, MATCH($A28, AccuracyTable!$B$2:$B$31, 0), MATCH($B$9, AccuracyTable!$C$1:$AF$1, 0)))</f>
        <v>0.95</v>
      </c>
      <c r="J28" s="22">
        <f>IF($B$10="","",INDEX(AccuracyTable!$C$2:$AF$31, MATCH($A28, AccuracyTable!$B$2:$B$31, 0), MATCH($B$10, AccuracyTable!$C$1:$AF$1, 0)))</f>
        <v>0.95</v>
      </c>
      <c r="K28" s="21">
        <f t="shared" si="3"/>
        <v>0</v>
      </c>
      <c r="L28" s="21">
        <f t="shared" si="4"/>
        <v>0</v>
      </c>
      <c r="M28" s="21">
        <f t="shared" si="5"/>
        <v>0</v>
      </c>
      <c r="N28" s="21">
        <f t="shared" si="6"/>
        <v>0</v>
      </c>
      <c r="P28" s="26">
        <f t="shared" si="7"/>
        <v>0</v>
      </c>
    </row>
    <row r="29" spans="1:16" x14ac:dyDescent="0.25">
      <c r="A29" s="23" t="s">
        <v>122</v>
      </c>
      <c r="D29" s="24">
        <f>SUM($D$18:$D$28)</f>
        <v>41771</v>
      </c>
      <c r="E29" s="25">
        <f>SUM($E$18:$E$28)</f>
        <v>1</v>
      </c>
      <c r="F29" s="24">
        <f>SUM($F$18:$F$28)</f>
        <v>160.99999999999997</v>
      </c>
      <c r="K29" s="24">
        <f>SUM($K$18:$K$28)</f>
        <v>75.594616146848296</v>
      </c>
      <c r="L29" s="24">
        <f>SUM($L$18:$L$28)</f>
        <v>87.999139411553472</v>
      </c>
      <c r="M29" s="24">
        <f>SUM($M$18:$M$28)</f>
        <v>99.578021559694534</v>
      </c>
      <c r="N29" s="24">
        <f>SUM($N$18:$N$28)</f>
        <v>108.98383840128318</v>
      </c>
    </row>
    <row r="31" spans="1:16" ht="30" x14ac:dyDescent="0.25">
      <c r="A31" s="17" t="s">
        <v>123</v>
      </c>
      <c r="K31" s="21">
        <f>IF($B$7="","",SUMPRODUCT($F$18:$F$28,$G$18:$G$28,(1-$G$18:$G$28)))</f>
        <v>31.376912708184459</v>
      </c>
      <c r="L31" s="21">
        <f>IF($B$8="","",SUMPRODUCT($F$18:$F$28,$H$18:$H$28,(1-$H$18:$H$28)))</f>
        <v>32.214799511856214</v>
      </c>
      <c r="M31" s="21">
        <f>IF($B$9="","",SUMPRODUCT($F$18:$F$28,$I$18:$I$28,(1-$I$18:$I$28)))</f>
        <v>31.639912874635151</v>
      </c>
      <c r="N31" s="21">
        <f>IF($B$10="","",SUMPRODUCT($F$18:$F$28,$J$18:$J$28,(1-$J$18:$J$28)))</f>
        <v>30.023215578662324</v>
      </c>
    </row>
    <row r="32" spans="1:16" ht="30" x14ac:dyDescent="0.25">
      <c r="A32" s="17" t="s">
        <v>124</v>
      </c>
      <c r="K32" s="21">
        <f>IF($B$7="","",SQRT(K31))</f>
        <v>5.6015098596882309</v>
      </c>
      <c r="L32" s="21">
        <f>IF($B$8="","",SQRT(L31))</f>
        <v>5.6758082694763585</v>
      </c>
      <c r="M32" s="21">
        <f>IF($B$9="","",SQRT(M31))</f>
        <v>5.6249366996113963</v>
      </c>
      <c r="N32" s="21">
        <f>IF($B$10="","",SQRT(N31))</f>
        <v>5.4793444478935909</v>
      </c>
    </row>
  </sheetData>
  <mergeCells count="4">
    <mergeCell ref="A3:C3"/>
    <mergeCell ref="D3:N3"/>
    <mergeCell ref="A6:C6"/>
    <mergeCell ref="A1:N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32"/>
  <sheetViews>
    <sheetView showGridLines="0" topLeftCell="A14" zoomScale="175" zoomScaleNormal="175" workbookViewId="0">
      <selection activeCell="A6" sqref="A6:C6"/>
    </sheetView>
  </sheetViews>
  <sheetFormatPr defaultRowHeight="15" x14ac:dyDescent="0.25"/>
  <cols>
    <col min="1" max="1" width="10" customWidth="1"/>
    <col min="2" max="2" width="8" customWidth="1"/>
    <col min="3" max="5" width="12" customWidth="1"/>
    <col min="6" max="6" width="13" customWidth="1"/>
    <col min="7" max="10" width="12" customWidth="1"/>
    <col min="11" max="14" width="14" customWidth="1"/>
  </cols>
  <sheetData>
    <row r="1" spans="1:14" x14ac:dyDescent="0.25">
      <c r="A1" s="32" t="s">
        <v>132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</row>
    <row r="3" spans="1:14" x14ac:dyDescent="0.25">
      <c r="A3" s="27" t="s">
        <v>86</v>
      </c>
      <c r="B3" s="28"/>
      <c r="C3" s="28"/>
      <c r="D3" s="27" t="s">
        <v>87</v>
      </c>
      <c r="E3" s="28"/>
      <c r="F3" s="28"/>
      <c r="G3" s="28"/>
      <c r="H3" s="28"/>
      <c r="I3" s="28"/>
      <c r="J3" s="28"/>
      <c r="K3" s="28"/>
      <c r="L3" s="28"/>
      <c r="M3" s="28"/>
      <c r="N3" s="28"/>
    </row>
    <row r="4" spans="1:14" ht="75" x14ac:dyDescent="0.25">
      <c r="A4" t="s">
        <v>88</v>
      </c>
      <c r="B4" s="10">
        <v>9</v>
      </c>
      <c r="D4" s="1" t="s">
        <v>89</v>
      </c>
      <c r="E4" s="11">
        <f>M29</f>
        <v>109.27800294225335</v>
      </c>
    </row>
    <row r="5" spans="1:14" ht="60" x14ac:dyDescent="0.25">
      <c r="A5" t="s">
        <v>90</v>
      </c>
      <c r="B5" s="12">
        <v>162</v>
      </c>
      <c r="D5" s="1" t="s">
        <v>91</v>
      </c>
      <c r="E5" s="13">
        <f>ROUNDUP($E$4,0)</f>
        <v>110</v>
      </c>
    </row>
    <row r="6" spans="1:14" x14ac:dyDescent="0.25">
      <c r="A6" s="31" t="s">
        <v>92</v>
      </c>
      <c r="B6" s="28"/>
      <c r="C6" s="28"/>
    </row>
    <row r="7" spans="1:14" ht="30" x14ac:dyDescent="0.25">
      <c r="A7" t="s">
        <v>93</v>
      </c>
      <c r="B7" s="14">
        <f>IF(OR($B$4-1&lt;0.5,$B$4-1&gt;15),"",$B$4-1)</f>
        <v>8</v>
      </c>
      <c r="D7" s="1" t="s">
        <v>94</v>
      </c>
      <c r="E7" s="15">
        <f>IF($B$7="",-1,IF(K32=0,IF(K29&gt;=$E$5,1,0),1-_xlfn.NORM.DIST($E$5-0.5,K29,K32,TRUE)))</f>
        <v>3.0373428578234218E-4</v>
      </c>
    </row>
    <row r="8" spans="1:14" ht="45" x14ac:dyDescent="0.25">
      <c r="A8" t="s">
        <v>95</v>
      </c>
      <c r="B8" s="14">
        <f>IF(OR($B$4-0.5&lt;0.5,$B$4-0.5&gt;15),"",$B$4-0.5)</f>
        <v>8.5</v>
      </c>
      <c r="D8" s="1" t="s">
        <v>96</v>
      </c>
      <c r="E8" s="15">
        <f>IF($B$8="",-1,IF(L32=0,IF(L29&gt;=$E$5,1,0),1-_xlfn.NORM.DIST($E$5-0.5,L29,L32,TRUE)))</f>
        <v>5.0491966991612625E-2</v>
      </c>
    </row>
    <row r="9" spans="1:14" ht="30" x14ac:dyDescent="0.25">
      <c r="A9" t="s">
        <v>97</v>
      </c>
      <c r="B9" s="14">
        <f>$B$4</f>
        <v>9</v>
      </c>
      <c r="D9" s="1" t="s">
        <v>98</v>
      </c>
      <c r="E9" s="15">
        <f>IF($B$9="",-1,IF(M32=0,IF(M29&gt;=$E$5,1,0),1-_xlfn.NORM.DIST($E$5-0.5,M29,M32,TRUE)))</f>
        <v>0.4839819525658724</v>
      </c>
    </row>
    <row r="10" spans="1:14" ht="45" x14ac:dyDescent="0.25">
      <c r="A10" t="s">
        <v>99</v>
      </c>
      <c r="B10" s="14">
        <f>IF(OR($B$4+0.5&lt;0.5,$B$4+0.5&gt;15),"",$B$4+0.5)</f>
        <v>9.5</v>
      </c>
      <c r="D10" s="1" t="s">
        <v>100</v>
      </c>
      <c r="E10" s="15">
        <f>IF($B$10="",-1,IF(N32=0,IF(N29&gt;=$E$5,1,0),1-_xlfn.NORM.DIST($E$5-0.5,N29,N32,TRUE)))</f>
        <v>0.89830771118565678</v>
      </c>
    </row>
    <row r="11" spans="1:14" x14ac:dyDescent="0.25">
      <c r="E11" s="16" t="s">
        <v>101</v>
      </c>
      <c r="F11" s="16" t="s">
        <v>102</v>
      </c>
      <c r="G11" s="16" t="s">
        <v>103</v>
      </c>
      <c r="H11" s="16" t="s">
        <v>104</v>
      </c>
    </row>
    <row r="12" spans="1:14" ht="30" x14ac:dyDescent="0.25">
      <c r="D12" s="17" t="s">
        <v>105</v>
      </c>
      <c r="E12" s="18">
        <f>IF($B$7="","",K29)</f>
        <v>89.903452803640548</v>
      </c>
      <c r="F12" s="18">
        <f>IF($B$8="","",L29)</f>
        <v>100.20524595930537</v>
      </c>
      <c r="G12" s="18">
        <f>IF($B$9="","",M29)</f>
        <v>109.27800294225335</v>
      </c>
      <c r="H12" s="18">
        <f>IF($B$10="","",N29)</f>
        <v>116.30471509310594</v>
      </c>
    </row>
    <row r="13" spans="1:14" x14ac:dyDescent="0.25">
      <c r="D13" s="17" t="s">
        <v>106</v>
      </c>
      <c r="E13" s="19">
        <f>IF($B$7="","",K29/$B$5)</f>
        <v>0.55495958520765765</v>
      </c>
      <c r="F13" s="19">
        <f>IF($B$8="","",L29/$B$5)</f>
        <v>0.61855090098336651</v>
      </c>
      <c r="G13" s="19">
        <f>IF($B$9="","",M29/$B$5)</f>
        <v>0.67455557371761332</v>
      </c>
      <c r="H13" s="19">
        <f>IF($B$10="","",N29/$B$5)</f>
        <v>0.71793034008090084</v>
      </c>
    </row>
    <row r="14" spans="1:14" ht="30" x14ac:dyDescent="0.25">
      <c r="D14" s="17" t="s">
        <v>107</v>
      </c>
      <c r="E14" s="18">
        <f>IF($B$7="","",K32)</f>
        <v>5.7161826869116101</v>
      </c>
      <c r="F14" s="18">
        <f>IF($B$8="","",L32)</f>
        <v>5.6671800372804499</v>
      </c>
      <c r="G14" s="18">
        <f>IF($B$9="","",M32)</f>
        <v>5.5275282288401097</v>
      </c>
      <c r="H14" s="18">
        <f>IF($B$10="","",N32)</f>
        <v>5.3497544155133694</v>
      </c>
    </row>
    <row r="17" spans="1:16" ht="30" x14ac:dyDescent="0.25">
      <c r="A17" s="3" t="s">
        <v>108</v>
      </c>
      <c r="B17" s="3" t="s">
        <v>109</v>
      </c>
      <c r="C17" s="3" t="s">
        <v>110</v>
      </c>
      <c r="D17" s="3" t="s">
        <v>111</v>
      </c>
      <c r="E17" s="3" t="s">
        <v>112</v>
      </c>
      <c r="F17" s="3" t="s">
        <v>113</v>
      </c>
      <c r="G17" s="3" t="s">
        <v>114</v>
      </c>
      <c r="H17" s="3" t="s">
        <v>115</v>
      </c>
      <c r="I17" s="3" t="s">
        <v>116</v>
      </c>
      <c r="J17" s="3" t="s">
        <v>117</v>
      </c>
      <c r="K17" s="3" t="s">
        <v>118</v>
      </c>
      <c r="L17" s="3" t="s">
        <v>119</v>
      </c>
      <c r="M17" s="3" t="s">
        <v>120</v>
      </c>
      <c r="N17" s="3" t="s">
        <v>121</v>
      </c>
    </row>
    <row r="18" spans="1:16" x14ac:dyDescent="0.25">
      <c r="A18" s="8" t="s">
        <v>62</v>
      </c>
      <c r="B18" s="7">
        <f>INDEX(AccuracyTable!$A$2:$A$31, MATCH($A18, AccuracyTable!$B$2:$B$31, 0))</f>
        <v>2806</v>
      </c>
      <c r="C18" s="20">
        <v>0.7</v>
      </c>
      <c r="D18" s="21">
        <f t="shared" ref="D18:D28" si="0">B18*C18</f>
        <v>1964.1999999999998</v>
      </c>
      <c r="E18" s="22">
        <f t="shared" ref="E18:E28" si="1">D18/SUM($D$18:$D$28)</f>
        <v>4.2808696865083505E-2</v>
      </c>
      <c r="F18" s="21">
        <f t="shared" ref="F18:F28" si="2">$B$5*E18</f>
        <v>6.9350088921435278</v>
      </c>
      <c r="G18" s="22">
        <f>IF($B$7="","",INDEX(AccuracyTable!$C$2:$AF$31, MATCH($A18, AccuracyTable!$B$2:$B$31, 0), MATCH($B$7, AccuracyTable!$C$1:$AF$1, 0)))</f>
        <v>0.88849999999999996</v>
      </c>
      <c r="H18" s="22">
        <f>IF($B$8="","",INDEX(AccuracyTable!$C$2:$AF$31, MATCH($A18, AccuracyTable!$B$2:$B$31, 0), MATCH($B$8, AccuracyTable!$C$1:$AF$1, 0)))</f>
        <v>0.92569999999999997</v>
      </c>
      <c r="I18" s="22">
        <f>IF($B$9="","",INDEX(AccuracyTable!$C$2:$AF$31, MATCH($A18, AccuracyTable!$B$2:$B$31, 0), MATCH($B$9, AccuracyTable!$C$1:$AF$1, 0)))</f>
        <v>0.94420000000000004</v>
      </c>
      <c r="J18" s="22">
        <f>IF($B$10="","",INDEX(AccuracyTable!$C$2:$AF$31, MATCH($A18, AccuracyTable!$B$2:$B$31, 0), MATCH($B$10, AccuracyTable!$C$1:$AF$1, 0)))</f>
        <v>0.94920000000000004</v>
      </c>
      <c r="K18" s="21">
        <f t="shared" ref="K18:K28" si="3">IF($B$7="","",F18*G18)</f>
        <v>6.1617554006695245</v>
      </c>
      <c r="L18" s="21">
        <f t="shared" ref="L18:L28" si="4">IF($B$8="","",F18*H18)</f>
        <v>6.4197377314572632</v>
      </c>
      <c r="M18" s="21">
        <f t="shared" ref="M18:M28" si="5">IF($B$9="","",F18*I18)</f>
        <v>6.5480353959619189</v>
      </c>
      <c r="N18" s="21">
        <f t="shared" ref="N18:N28" si="6">IF($B$10="","",F18*J18)</f>
        <v>6.5827104404226366</v>
      </c>
      <c r="P18" s="26">
        <f>I18-H18</f>
        <v>1.8500000000000072E-2</v>
      </c>
    </row>
    <row r="19" spans="1:16" x14ac:dyDescent="0.25">
      <c r="A19" s="8" t="s">
        <v>63</v>
      </c>
      <c r="B19" s="7">
        <f>INDEX(AccuracyTable!$A$2:$A$31, MATCH($A19, AccuracyTable!$B$2:$B$31, 0))</f>
        <v>3785</v>
      </c>
      <c r="C19" s="20">
        <v>1.2</v>
      </c>
      <c r="D19" s="21">
        <f t="shared" si="0"/>
        <v>4542</v>
      </c>
      <c r="E19" s="22">
        <f t="shared" si="1"/>
        <v>9.8990480175750586E-2</v>
      </c>
      <c r="F19" s="21">
        <f t="shared" si="2"/>
        <v>16.036457788471594</v>
      </c>
      <c r="G19" s="22">
        <f>IF($B$7="","",INDEX(AccuracyTable!$C$2:$AF$31, MATCH($A19, AccuracyTable!$B$2:$B$31, 0), MATCH($B$7, AccuracyTable!$C$1:$AF$1, 0)))</f>
        <v>0.80819999999999992</v>
      </c>
      <c r="H19" s="22">
        <f>IF($B$8="","",INDEX(AccuracyTable!$C$2:$AF$31, MATCH($A19, AccuracyTable!$B$2:$B$31, 0), MATCH($B$8, AccuracyTable!$C$1:$AF$1, 0)))</f>
        <v>0.86150000000000004</v>
      </c>
      <c r="I19" s="22">
        <f>IF($B$9="","",INDEX(AccuracyTable!$C$2:$AF$31, MATCH($A19, AccuracyTable!$B$2:$B$31, 0), MATCH($B$9, AccuracyTable!$C$1:$AF$1, 0)))</f>
        <v>0.90450000000000008</v>
      </c>
      <c r="J19" s="22">
        <f>IF($B$10="","",INDEX(AccuracyTable!$C$2:$AF$31, MATCH($A19, AccuracyTable!$B$2:$B$31, 0), MATCH($B$10, AccuracyTable!$C$1:$AF$1, 0)))</f>
        <v>0.93069999999999997</v>
      </c>
      <c r="K19" s="21">
        <f t="shared" si="3"/>
        <v>12.960665184642741</v>
      </c>
      <c r="L19" s="21">
        <f t="shared" si="4"/>
        <v>13.815408384768279</v>
      </c>
      <c r="M19" s="21">
        <f t="shared" si="5"/>
        <v>14.504976069672558</v>
      </c>
      <c r="N19" s="21">
        <f t="shared" si="6"/>
        <v>14.925131263730512</v>
      </c>
      <c r="P19" s="26">
        <f t="shared" ref="P19:P28" si="7">I19-H19</f>
        <v>4.3000000000000038E-2</v>
      </c>
    </row>
    <row r="20" spans="1:16" x14ac:dyDescent="0.25">
      <c r="A20" s="8" t="s">
        <v>64</v>
      </c>
      <c r="B20" s="7">
        <f>INDEX(AccuracyTable!$A$2:$A$31, MATCH($A20, AccuracyTable!$B$2:$B$31, 0))</f>
        <v>4374</v>
      </c>
      <c r="C20" s="20">
        <v>1.5</v>
      </c>
      <c r="D20" s="21">
        <f t="shared" si="0"/>
        <v>6561</v>
      </c>
      <c r="E20" s="22">
        <f t="shared" si="1"/>
        <v>0.14299351396589599</v>
      </c>
      <c r="F20" s="21">
        <f t="shared" si="2"/>
        <v>23.164949262475151</v>
      </c>
      <c r="G20" s="22">
        <f>IF($B$7="","",INDEX(AccuracyTable!$C$2:$AF$31, MATCH($A20, AccuracyTable!$B$2:$B$31, 0), MATCH($B$7, AccuracyTable!$C$1:$AF$1, 0)))</f>
        <v>0.70440000000000003</v>
      </c>
      <c r="H20" s="22">
        <f>IF($B$8="","",INDEX(AccuracyTable!$C$2:$AF$31, MATCH($A20, AccuracyTable!$B$2:$B$31, 0), MATCH($B$8, AccuracyTable!$C$1:$AF$1, 0)))</f>
        <v>0.76139999999999997</v>
      </c>
      <c r="I20" s="22">
        <f>IF($B$9="","",INDEX(AccuracyTable!$C$2:$AF$31, MATCH($A20, AccuracyTable!$B$2:$B$31, 0), MATCH($B$9, AccuracyTable!$C$1:$AF$1, 0)))</f>
        <v>0.81409999999999993</v>
      </c>
      <c r="J20" s="22">
        <f>IF($B$10="","",INDEX(AccuracyTable!$C$2:$AF$31, MATCH($A20, AccuracyTable!$B$2:$B$31, 0), MATCH($B$10, AccuracyTable!$C$1:$AF$1, 0)))</f>
        <v>0.85769999999999991</v>
      </c>
      <c r="K20" s="21">
        <f t="shared" si="3"/>
        <v>16.317390260487496</v>
      </c>
      <c r="L20" s="21">
        <f t="shared" si="4"/>
        <v>17.637792368448579</v>
      </c>
      <c r="M20" s="21">
        <f t="shared" si="5"/>
        <v>18.858585194581018</v>
      </c>
      <c r="N20" s="21">
        <f t="shared" si="6"/>
        <v>19.868576982424933</v>
      </c>
      <c r="P20" s="26">
        <f t="shared" si="7"/>
        <v>5.2699999999999969E-2</v>
      </c>
    </row>
    <row r="21" spans="1:16" x14ac:dyDescent="0.25">
      <c r="A21" s="8" t="s">
        <v>65</v>
      </c>
      <c r="B21" s="7">
        <f>INDEX(AccuracyTable!$A$2:$A$31, MATCH($A21, AccuracyTable!$B$2:$B$31, 0))</f>
        <v>4503</v>
      </c>
      <c r="C21" s="20">
        <v>1.4</v>
      </c>
      <c r="D21" s="21">
        <f t="shared" si="0"/>
        <v>6304.2</v>
      </c>
      <c r="E21" s="22">
        <f t="shared" si="1"/>
        <v>0.13739669421487602</v>
      </c>
      <c r="F21" s="21">
        <f t="shared" si="2"/>
        <v>22.258264462809915</v>
      </c>
      <c r="G21" s="22">
        <f>IF($B$7="","",INDEX(AccuracyTable!$C$2:$AF$31, MATCH($A21, AccuracyTable!$B$2:$B$31, 0), MATCH($B$7, AccuracyTable!$C$1:$AF$1, 0)))</f>
        <v>0.60750000000000004</v>
      </c>
      <c r="H21" s="22">
        <f>IF($B$8="","",INDEX(AccuracyTable!$C$2:$AF$31, MATCH($A21, AccuracyTable!$B$2:$B$31, 0), MATCH($B$8, AccuracyTable!$C$1:$AF$1, 0)))</f>
        <v>0.66879999999999995</v>
      </c>
      <c r="I21" s="22">
        <f>IF($B$9="","",INDEX(AccuracyTable!$C$2:$AF$31, MATCH($A21, AccuracyTable!$B$2:$B$31, 0), MATCH($B$9, AccuracyTable!$C$1:$AF$1, 0)))</f>
        <v>0.72329999999999994</v>
      </c>
      <c r="J21" s="22">
        <f>IF($B$10="","",INDEX(AccuracyTable!$C$2:$AF$31, MATCH($A21, AccuracyTable!$B$2:$B$31, 0), MATCH($B$10, AccuracyTable!$C$1:$AF$1, 0)))</f>
        <v>0.76840000000000008</v>
      </c>
      <c r="K21" s="21">
        <f t="shared" si="3"/>
        <v>13.521895661157025</v>
      </c>
      <c r="L21" s="21">
        <f t="shared" si="4"/>
        <v>14.88632727272727</v>
      </c>
      <c r="M21" s="21">
        <f t="shared" si="5"/>
        <v>16.099402685950409</v>
      </c>
      <c r="N21" s="21">
        <f t="shared" si="6"/>
        <v>17.10325041322314</v>
      </c>
      <c r="P21" s="26">
        <f t="shared" si="7"/>
        <v>5.4499999999999993E-2</v>
      </c>
    </row>
    <row r="22" spans="1:16" x14ac:dyDescent="0.25">
      <c r="A22" s="8" t="s">
        <v>66</v>
      </c>
      <c r="B22" s="7">
        <f>INDEX(AccuracyTable!$A$2:$A$31, MATCH($A22, AccuracyTable!$B$2:$B$31, 0))</f>
        <v>4470</v>
      </c>
      <c r="C22" s="20">
        <v>1.2</v>
      </c>
      <c r="D22" s="21">
        <f t="shared" si="0"/>
        <v>5364</v>
      </c>
      <c r="E22" s="22">
        <f t="shared" si="1"/>
        <v>0.11690553405167904</v>
      </c>
      <c r="F22" s="21">
        <f t="shared" si="2"/>
        <v>18.938696516372005</v>
      </c>
      <c r="G22" s="22">
        <f>IF($B$7="","",INDEX(AccuracyTable!$C$2:$AF$31, MATCH($A22, AccuracyTable!$B$2:$B$31, 0), MATCH($B$7, AccuracyTable!$C$1:$AF$1, 0)))</f>
        <v>0.51180000000000003</v>
      </c>
      <c r="H22" s="22">
        <f>IF($B$8="","",INDEX(AccuracyTable!$C$2:$AF$31, MATCH($A22, AccuracyTable!$B$2:$B$31, 0), MATCH($B$8, AccuracyTable!$C$1:$AF$1, 0)))</f>
        <v>0.57830000000000004</v>
      </c>
      <c r="I22" s="22">
        <f>IF($B$9="","",INDEX(AccuracyTable!$C$2:$AF$31, MATCH($A22, AccuracyTable!$B$2:$B$31, 0), MATCH($B$9, AccuracyTable!$C$1:$AF$1, 0)))</f>
        <v>0.63570000000000004</v>
      </c>
      <c r="J22" s="22">
        <f>IF($B$10="","",INDEX(AccuracyTable!$C$2:$AF$31, MATCH($A22, AccuracyTable!$B$2:$B$31, 0), MATCH($B$10, AccuracyTable!$C$1:$AF$1, 0)))</f>
        <v>0.68140000000000001</v>
      </c>
      <c r="K22" s="21">
        <f t="shared" si="3"/>
        <v>9.6928248770791932</v>
      </c>
      <c r="L22" s="21">
        <f t="shared" si="4"/>
        <v>10.952248195417932</v>
      </c>
      <c r="M22" s="21">
        <f t="shared" si="5"/>
        <v>12.039329375457685</v>
      </c>
      <c r="N22" s="21">
        <f t="shared" si="6"/>
        <v>12.904827806255884</v>
      </c>
      <c r="P22" s="26">
        <f t="shared" si="7"/>
        <v>5.7400000000000007E-2</v>
      </c>
    </row>
    <row r="23" spans="1:16" x14ac:dyDescent="0.25">
      <c r="A23" s="8" t="s">
        <v>67</v>
      </c>
      <c r="B23" s="7">
        <f>INDEX(AccuracyTable!$A$2:$A$31, MATCH($A23, AccuracyTable!$B$2:$B$31, 0))</f>
        <v>4276</v>
      </c>
      <c r="C23" s="20">
        <v>1.2</v>
      </c>
      <c r="D23" s="21">
        <f t="shared" si="0"/>
        <v>5131.2</v>
      </c>
      <c r="E23" s="22">
        <f t="shared" si="1"/>
        <v>0.11183178156710952</v>
      </c>
      <c r="F23" s="21">
        <f t="shared" si="2"/>
        <v>18.116748613871742</v>
      </c>
      <c r="G23" s="22">
        <f>IF($B$7="","",INDEX(AccuracyTable!$C$2:$AF$31, MATCH($A23, AccuracyTable!$B$2:$B$31, 0), MATCH($B$7, AccuracyTable!$C$1:$AF$1, 0)))</f>
        <v>0.41720000000000002</v>
      </c>
      <c r="H23" s="22">
        <f>IF($B$8="","",INDEX(AccuracyTable!$C$2:$AF$31, MATCH($A23, AccuracyTable!$B$2:$B$31, 0), MATCH($B$8, AccuracyTable!$C$1:$AF$1, 0)))</f>
        <v>0.49249999999999999</v>
      </c>
      <c r="I23" s="22">
        <f>IF($B$9="","",INDEX(AccuracyTable!$C$2:$AF$31, MATCH($A23, AccuracyTable!$B$2:$B$31, 0), MATCH($B$9, AccuracyTable!$C$1:$AF$1, 0)))</f>
        <v>0.55700000000000005</v>
      </c>
      <c r="J23" s="22">
        <f>IF($B$10="","",INDEX(AccuracyTable!$C$2:$AF$31, MATCH($A23, AccuracyTable!$B$2:$B$31, 0), MATCH($B$10, AccuracyTable!$C$1:$AF$1, 0)))</f>
        <v>0.60780000000000001</v>
      </c>
      <c r="K23" s="21">
        <f t="shared" si="3"/>
        <v>7.5583075217072908</v>
      </c>
      <c r="L23" s="21">
        <f t="shared" si="4"/>
        <v>8.9224986923318337</v>
      </c>
      <c r="M23" s="21">
        <f t="shared" si="5"/>
        <v>10.091028977926561</v>
      </c>
      <c r="N23" s="21">
        <f t="shared" si="6"/>
        <v>11.011359807511244</v>
      </c>
      <c r="P23" s="26">
        <f t="shared" si="7"/>
        <v>6.4500000000000057E-2</v>
      </c>
    </row>
    <row r="24" spans="1:16" x14ac:dyDescent="0.25">
      <c r="A24" s="8" t="s">
        <v>68</v>
      </c>
      <c r="B24" s="7">
        <f>INDEX(AccuracyTable!$A$2:$A$31, MATCH($A24, AccuracyTable!$B$2:$B$31, 0))</f>
        <v>4380</v>
      </c>
      <c r="C24" s="20">
        <v>1.4</v>
      </c>
      <c r="D24" s="21">
        <f t="shared" si="0"/>
        <v>6132</v>
      </c>
      <c r="E24" s="22">
        <f t="shared" si="1"/>
        <v>0.13364368657809392</v>
      </c>
      <c r="F24" s="21">
        <f t="shared" si="2"/>
        <v>21.650277225651216</v>
      </c>
      <c r="G24" s="22">
        <f>IF($B$7="","",INDEX(AccuracyTable!$C$2:$AF$31, MATCH($A24, AccuracyTable!$B$2:$B$31, 0), MATCH($B$7, AccuracyTable!$C$1:$AF$1, 0)))</f>
        <v>0.33600000000000002</v>
      </c>
      <c r="H24" s="22">
        <f>IF($B$8="","",INDEX(AccuracyTable!$C$2:$AF$31, MATCH($A24, AccuracyTable!$B$2:$B$31, 0), MATCH($B$8, AccuracyTable!$C$1:$AF$1, 0)))</f>
        <v>0.41920000000000002</v>
      </c>
      <c r="I24" s="22">
        <f>IF($B$9="","",INDEX(AccuracyTable!$C$2:$AF$31, MATCH($A24, AccuracyTable!$B$2:$B$31, 0), MATCH($B$9, AccuracyTable!$C$1:$AF$1, 0)))</f>
        <v>0.49230000000000002</v>
      </c>
      <c r="J24" s="22">
        <f>IF($B$10="","",INDEX(AccuracyTable!$C$2:$AF$31, MATCH($A24, AccuracyTable!$B$2:$B$31, 0), MATCH($B$10, AccuracyTable!$C$1:$AF$1, 0)))</f>
        <v>0.54820000000000002</v>
      </c>
      <c r="K24" s="21">
        <f t="shared" si="3"/>
        <v>7.2744931478188093</v>
      </c>
      <c r="L24" s="21">
        <f t="shared" si="4"/>
        <v>9.0757962129929908</v>
      </c>
      <c r="M24" s="21">
        <f t="shared" si="5"/>
        <v>10.658431478188094</v>
      </c>
      <c r="N24" s="21">
        <f t="shared" si="6"/>
        <v>11.868681975101998</v>
      </c>
      <c r="P24" s="26">
        <f t="shared" si="7"/>
        <v>7.3099999999999998E-2</v>
      </c>
    </row>
    <row r="25" spans="1:16" x14ac:dyDescent="0.25">
      <c r="A25" s="8" t="s">
        <v>69</v>
      </c>
      <c r="B25" s="7">
        <f>INDEX(AccuracyTable!$A$2:$A$31, MATCH($A25, AccuracyTable!$B$2:$B$31, 0))</f>
        <v>4674</v>
      </c>
      <c r="C25" s="20">
        <v>1.5</v>
      </c>
      <c r="D25" s="21">
        <f t="shared" si="0"/>
        <v>7011</v>
      </c>
      <c r="E25" s="22">
        <f t="shared" si="1"/>
        <v>0.15280102521184222</v>
      </c>
      <c r="F25" s="21">
        <f t="shared" si="2"/>
        <v>24.753766084318439</v>
      </c>
      <c r="G25" s="22">
        <f>IF($B$7="","",INDEX(AccuracyTable!$C$2:$AF$31, MATCH($A25, AccuracyTable!$B$2:$B$31, 0), MATCH($B$7, AccuracyTable!$C$1:$AF$1, 0)))</f>
        <v>0.27379999999999999</v>
      </c>
      <c r="H25" s="22">
        <f>IF($B$8="","",INDEX(AccuracyTable!$C$2:$AF$31, MATCH($A25, AccuracyTable!$B$2:$B$31, 0), MATCH($B$8, AccuracyTable!$C$1:$AF$1, 0)))</f>
        <v>0.35780000000000001</v>
      </c>
      <c r="I25" s="22">
        <f>IF($B$9="","",INDEX(AccuracyTable!$C$2:$AF$31, MATCH($A25, AccuracyTable!$B$2:$B$31, 0), MATCH($B$9, AccuracyTable!$C$1:$AF$1, 0)))</f>
        <v>0.43790000000000001</v>
      </c>
      <c r="J25" s="22">
        <f>IF($B$10="","",INDEX(AccuracyTable!$C$2:$AF$31, MATCH($A25, AccuracyTable!$B$2:$B$31, 0), MATCH($B$10, AccuracyTable!$C$1:$AF$1, 0)))</f>
        <v>0.501</v>
      </c>
      <c r="K25" s="21">
        <f t="shared" si="3"/>
        <v>6.7775811538863886</v>
      </c>
      <c r="L25" s="21">
        <f t="shared" si="4"/>
        <v>8.8568975049691385</v>
      </c>
      <c r="M25" s="21">
        <f t="shared" si="5"/>
        <v>10.839674168323045</v>
      </c>
      <c r="N25" s="21">
        <f t="shared" si="6"/>
        <v>12.401636808243538</v>
      </c>
      <c r="P25" s="26">
        <f t="shared" si="7"/>
        <v>8.0100000000000005E-2</v>
      </c>
    </row>
    <row r="26" spans="1:16" x14ac:dyDescent="0.25">
      <c r="A26" s="8" t="s">
        <v>78</v>
      </c>
      <c r="B26" s="7">
        <f>INDEX(AccuracyTable!$A$2:$A$31, MATCH($A26, AccuracyTable!$B$2:$B$31, 0))</f>
        <v>2278</v>
      </c>
      <c r="C26" s="20">
        <v>0.7</v>
      </c>
      <c r="D26" s="21">
        <f t="shared" si="0"/>
        <v>1594.6</v>
      </c>
      <c r="E26" s="22">
        <f t="shared" si="1"/>
        <v>3.4753460961746342E-2</v>
      </c>
      <c r="F26" s="21">
        <f t="shared" si="2"/>
        <v>5.6300606758029073</v>
      </c>
      <c r="G26" s="22">
        <f>IF($B$7="","",INDEX(AccuracyTable!$C$2:$AF$31, MATCH($A26, AccuracyTable!$B$2:$B$31, 0), MATCH($B$7, AccuracyTable!$C$1:$AF$1, 0)))</f>
        <v>0.95</v>
      </c>
      <c r="H26" s="22">
        <f>IF($B$8="","",INDEX(AccuracyTable!$C$2:$AF$31, MATCH($A26, AccuracyTable!$B$2:$B$31, 0), MATCH($B$8, AccuracyTable!$C$1:$AF$1, 0)))</f>
        <v>0.95</v>
      </c>
      <c r="I26" s="22">
        <f>IF($B$9="","",INDEX(AccuracyTable!$C$2:$AF$31, MATCH($A26, AccuracyTable!$B$2:$B$31, 0), MATCH($B$9, AccuracyTable!$C$1:$AF$1, 0)))</f>
        <v>0.95</v>
      </c>
      <c r="J26" s="22">
        <f>IF($B$10="","",INDEX(AccuracyTable!$C$2:$AF$31, MATCH($A26, AccuracyTable!$B$2:$B$31, 0), MATCH($B$10, AccuracyTable!$C$1:$AF$1, 0)))</f>
        <v>0.95</v>
      </c>
      <c r="K26" s="21">
        <f t="shared" si="3"/>
        <v>5.3485576420127616</v>
      </c>
      <c r="L26" s="21">
        <f t="shared" si="4"/>
        <v>5.3485576420127616</v>
      </c>
      <c r="M26" s="21">
        <f t="shared" si="5"/>
        <v>5.3485576420127616</v>
      </c>
      <c r="N26" s="21">
        <f t="shared" si="6"/>
        <v>5.3485576420127616</v>
      </c>
      <c r="P26" s="26">
        <f t="shared" si="7"/>
        <v>0</v>
      </c>
    </row>
    <row r="27" spans="1:16" x14ac:dyDescent="0.25">
      <c r="A27" s="8" t="s">
        <v>79</v>
      </c>
      <c r="B27" s="7">
        <f>INDEX(AccuracyTable!$A$2:$A$31, MATCH($A27, AccuracyTable!$B$2:$B$31, 0))</f>
        <v>2558</v>
      </c>
      <c r="C27" s="20">
        <v>0.5</v>
      </c>
      <c r="D27" s="21">
        <f t="shared" si="0"/>
        <v>1279</v>
      </c>
      <c r="E27" s="22">
        <f t="shared" si="1"/>
        <v>2.7875126407922723E-2</v>
      </c>
      <c r="F27" s="21">
        <f t="shared" si="2"/>
        <v>4.5157704780834811</v>
      </c>
      <c r="G27" s="22">
        <f>IF($B$7="","",INDEX(AccuracyTable!$C$2:$AF$31, MATCH($A27, AccuracyTable!$B$2:$B$31, 0), MATCH($B$7, AccuracyTable!$C$1:$AF$1, 0)))</f>
        <v>0.95</v>
      </c>
      <c r="H27" s="22">
        <f>IF($B$8="","",INDEX(AccuracyTable!$C$2:$AF$31, MATCH($A27, AccuracyTable!$B$2:$B$31, 0), MATCH($B$8, AccuracyTable!$C$1:$AF$1, 0)))</f>
        <v>0.95</v>
      </c>
      <c r="I27" s="22">
        <f>IF($B$9="","",INDEX(AccuracyTable!$C$2:$AF$31, MATCH($A27, AccuracyTable!$B$2:$B$31, 0), MATCH($B$9, AccuracyTable!$C$1:$AF$1, 0)))</f>
        <v>0.95</v>
      </c>
      <c r="J27" s="22">
        <f>IF($B$10="","",INDEX(AccuracyTable!$C$2:$AF$31, MATCH($A27, AccuracyTable!$B$2:$B$31, 0), MATCH($B$10, AccuracyTable!$C$1:$AF$1, 0)))</f>
        <v>0.95</v>
      </c>
      <c r="K27" s="21">
        <f t="shared" si="3"/>
        <v>4.2899819541793072</v>
      </c>
      <c r="L27" s="21">
        <f t="shared" si="4"/>
        <v>4.2899819541793072</v>
      </c>
      <c r="M27" s="21">
        <f t="shared" si="5"/>
        <v>4.2899819541793072</v>
      </c>
      <c r="N27" s="21">
        <f t="shared" si="6"/>
        <v>4.2899819541793072</v>
      </c>
      <c r="P27" s="26">
        <f t="shared" si="7"/>
        <v>0</v>
      </c>
    </row>
    <row r="28" spans="1:16" x14ac:dyDescent="0.25">
      <c r="A28" s="8" t="s">
        <v>80</v>
      </c>
      <c r="B28" s="7">
        <f>INDEX(AccuracyTable!$A$2:$A$31, MATCH($A28, AccuracyTable!$B$2:$B$31, 0))</f>
        <v>2005</v>
      </c>
      <c r="C28" s="20">
        <v>0</v>
      </c>
      <c r="D28" s="21">
        <f t="shared" si="0"/>
        <v>0</v>
      </c>
      <c r="E28" s="22">
        <f t="shared" si="1"/>
        <v>0</v>
      </c>
      <c r="F28" s="21">
        <f t="shared" si="2"/>
        <v>0</v>
      </c>
      <c r="G28" s="22">
        <f>IF($B$7="","",INDEX(AccuracyTable!$C$2:$AF$31, MATCH($A28, AccuracyTable!$B$2:$B$31, 0), MATCH($B$7, AccuracyTable!$C$1:$AF$1, 0)))</f>
        <v>0.95</v>
      </c>
      <c r="H28" s="22">
        <f>IF($B$8="","",INDEX(AccuracyTable!$C$2:$AF$31, MATCH($A28, AccuracyTable!$B$2:$B$31, 0), MATCH($B$8, AccuracyTable!$C$1:$AF$1, 0)))</f>
        <v>0.95</v>
      </c>
      <c r="I28" s="22">
        <f>IF($B$9="","",INDEX(AccuracyTable!$C$2:$AF$31, MATCH($A28, AccuracyTable!$B$2:$B$31, 0), MATCH($B$9, AccuracyTable!$C$1:$AF$1, 0)))</f>
        <v>0.95</v>
      </c>
      <c r="J28" s="22">
        <f>IF($B$10="","",INDEX(AccuracyTable!$C$2:$AF$31, MATCH($A28, AccuracyTable!$B$2:$B$31, 0), MATCH($B$10, AccuracyTable!$C$1:$AF$1, 0)))</f>
        <v>0.95</v>
      </c>
      <c r="K28" s="21">
        <f t="shared" si="3"/>
        <v>0</v>
      </c>
      <c r="L28" s="21">
        <f t="shared" si="4"/>
        <v>0</v>
      </c>
      <c r="M28" s="21">
        <f t="shared" si="5"/>
        <v>0</v>
      </c>
      <c r="N28" s="21">
        <f t="shared" si="6"/>
        <v>0</v>
      </c>
      <c r="P28" s="26">
        <f t="shared" si="7"/>
        <v>0</v>
      </c>
    </row>
    <row r="29" spans="1:16" x14ac:dyDescent="0.25">
      <c r="A29" s="23" t="s">
        <v>122</v>
      </c>
      <c r="D29" s="24">
        <f>SUM($D$18:$D$28)</f>
        <v>45883.200000000004</v>
      </c>
      <c r="E29" s="25">
        <f>SUM($E$18:$E$28)</f>
        <v>0.99999999999999978</v>
      </c>
      <c r="F29" s="24">
        <f>SUM($F$18:$F$28)</f>
        <v>161.99999999999997</v>
      </c>
      <c r="K29" s="24">
        <f>SUM($K$18:$K$28)</f>
        <v>89.903452803640548</v>
      </c>
      <c r="L29" s="24">
        <f>SUM($L$18:$L$28)</f>
        <v>100.20524595930537</v>
      </c>
      <c r="M29" s="24">
        <f>SUM($M$18:$M$28)</f>
        <v>109.27800294225335</v>
      </c>
      <c r="N29" s="24">
        <f>SUM($N$18:$N$28)</f>
        <v>116.30471509310594</v>
      </c>
    </row>
    <row r="31" spans="1:16" ht="30" x14ac:dyDescent="0.25">
      <c r="A31" s="17" t="s">
        <v>123</v>
      </c>
      <c r="K31" s="21">
        <f>IF($B$7="","",SUMPRODUCT($F$18:$F$28,$G$18:$G$28,(1-$G$18:$G$28)))</f>
        <v>32.674744510148038</v>
      </c>
      <c r="L31" s="21">
        <f>IF($B$8="","",SUMPRODUCT($F$18:$F$28,$H$18:$H$28,(1-$H$18:$H$28)))</f>
        <v>32.116929574950042</v>
      </c>
      <c r="M31" s="21">
        <f>IF($B$9="","",SUMPRODUCT($F$18:$F$28,$I$18:$I$28,(1-$I$18:$I$28)))</f>
        <v>30.553568320624279</v>
      </c>
      <c r="N31" s="21">
        <f>IF($B$10="","",SUMPRODUCT($F$18:$F$28,$J$18:$J$28,(1-$J$18:$J$28)))</f>
        <v>28.619872306304789</v>
      </c>
    </row>
    <row r="32" spans="1:16" ht="30" x14ac:dyDescent="0.25">
      <c r="A32" s="17" t="s">
        <v>124</v>
      </c>
      <c r="K32" s="21">
        <f>IF($B$7="","",SQRT(K31))</f>
        <v>5.7161826869116101</v>
      </c>
      <c r="L32" s="21">
        <f>IF($B$8="","",SQRT(L31))</f>
        <v>5.6671800372804499</v>
      </c>
      <c r="M32" s="21">
        <f>IF($B$9="","",SQRT(M31))</f>
        <v>5.5275282288401097</v>
      </c>
      <c r="N32" s="21">
        <f>IF($B$10="","",SQRT(N31))</f>
        <v>5.3497544155133694</v>
      </c>
    </row>
  </sheetData>
  <mergeCells count="4">
    <mergeCell ref="A3:C3"/>
    <mergeCell ref="D3:N3"/>
    <mergeCell ref="A6:C6"/>
    <mergeCell ref="A1:N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32"/>
  <sheetViews>
    <sheetView showGridLines="0" topLeftCell="A16" zoomScale="175" zoomScaleNormal="175" workbookViewId="0">
      <selection activeCell="A6" sqref="A6:C6"/>
    </sheetView>
  </sheetViews>
  <sheetFormatPr defaultRowHeight="15" x14ac:dyDescent="0.25"/>
  <cols>
    <col min="1" max="1" width="10" customWidth="1"/>
    <col min="2" max="2" width="8" customWidth="1"/>
    <col min="3" max="5" width="12" customWidth="1"/>
    <col min="6" max="6" width="13" customWidth="1"/>
    <col min="7" max="10" width="12" customWidth="1"/>
    <col min="11" max="14" width="14" customWidth="1"/>
  </cols>
  <sheetData>
    <row r="1" spans="1:14" x14ac:dyDescent="0.25">
      <c r="A1" s="32" t="s">
        <v>133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</row>
    <row r="3" spans="1:14" x14ac:dyDescent="0.25">
      <c r="A3" s="27" t="s">
        <v>86</v>
      </c>
      <c r="B3" s="28"/>
      <c r="C3" s="28"/>
      <c r="D3" s="27" t="s">
        <v>87</v>
      </c>
      <c r="E3" s="28"/>
      <c r="F3" s="28"/>
      <c r="G3" s="28"/>
      <c r="H3" s="28"/>
      <c r="I3" s="28"/>
      <c r="J3" s="28"/>
      <c r="K3" s="28"/>
      <c r="L3" s="28"/>
      <c r="M3" s="28"/>
      <c r="N3" s="28"/>
    </row>
    <row r="4" spans="1:14" ht="75" x14ac:dyDescent="0.25">
      <c r="A4" t="s">
        <v>88</v>
      </c>
      <c r="B4" s="10">
        <v>10</v>
      </c>
      <c r="D4" s="1" t="s">
        <v>89</v>
      </c>
      <c r="E4" s="11">
        <f>M29</f>
        <v>134.54030987326055</v>
      </c>
    </row>
    <row r="5" spans="1:14" ht="60" x14ac:dyDescent="0.25">
      <c r="A5" t="s">
        <v>90</v>
      </c>
      <c r="B5" s="12">
        <v>193</v>
      </c>
      <c r="D5" s="1" t="s">
        <v>91</v>
      </c>
      <c r="E5" s="13">
        <f>ROUNDUP($E$4,0)</f>
        <v>135</v>
      </c>
    </row>
    <row r="6" spans="1:14" x14ac:dyDescent="0.25">
      <c r="A6" s="31" t="s">
        <v>92</v>
      </c>
      <c r="B6" s="28"/>
      <c r="C6" s="28"/>
    </row>
    <row r="7" spans="1:14" ht="30" x14ac:dyDescent="0.25">
      <c r="A7" t="s">
        <v>93</v>
      </c>
      <c r="B7" s="14">
        <f>IF(OR($B$4-1&lt;0.5,$B$4-1&gt;15),"",$B$4-1)</f>
        <v>9</v>
      </c>
      <c r="D7" s="1" t="s">
        <v>94</v>
      </c>
      <c r="E7" s="15">
        <f>IF($B$7="",-1,IF(K32=0,IF(K29&gt;=$E$5,1,0),1-_xlfn.NORM.DIST($E$5-0.5,K29,K32,TRUE)))</f>
        <v>2.6087610359457614E-3</v>
      </c>
    </row>
    <row r="8" spans="1:14" ht="45" x14ac:dyDescent="0.25">
      <c r="A8" t="s">
        <v>95</v>
      </c>
      <c r="B8" s="14">
        <f>IF(OR($B$4-0.5&lt;0.5,$B$4-0.5&gt;15),"",$B$4-0.5)</f>
        <v>9.5</v>
      </c>
      <c r="D8" s="1" t="s">
        <v>96</v>
      </c>
      <c r="E8" s="15">
        <f>IF($B$8="",-1,IF(L32=0,IF(L29&gt;=$E$5,1,0),1-_xlfn.NORM.DIST($E$5-0.5,L29,L32,TRUE)))</f>
        <v>8.8418298425000041E-2</v>
      </c>
    </row>
    <row r="9" spans="1:14" ht="30" x14ac:dyDescent="0.25">
      <c r="A9" t="s">
        <v>97</v>
      </c>
      <c r="B9" s="14">
        <f>$B$4</f>
        <v>10</v>
      </c>
      <c r="D9" s="1" t="s">
        <v>98</v>
      </c>
      <c r="E9" s="15">
        <f>IF($B$9="",-1,IF(M32=0,IF(M29&gt;=$E$5,1,0),1-_xlfn.NORM.DIST($E$5-0.5,M29,M32,TRUE)))</f>
        <v>0.50269175064004834</v>
      </c>
    </row>
    <row r="10" spans="1:14" ht="45" x14ac:dyDescent="0.25">
      <c r="A10" t="s">
        <v>99</v>
      </c>
      <c r="B10" s="14">
        <f>IF(OR($B$4+0.5&lt;0.5,$B$4+0.5&gt;15),"",$B$4+0.5)</f>
        <v>10.5</v>
      </c>
      <c r="D10" s="1" t="s">
        <v>100</v>
      </c>
      <c r="E10" s="15">
        <f>IF($B$10="",-1,IF(N32=0,IF(N29&gt;=$E$5,1,0),1-_xlfn.NORM.DIST($E$5-0.5,N29,N32,TRUE)))</f>
        <v>0.87942400596825976</v>
      </c>
    </row>
    <row r="11" spans="1:14" x14ac:dyDescent="0.25">
      <c r="E11" s="16" t="s">
        <v>101</v>
      </c>
      <c r="F11" s="16" t="s">
        <v>102</v>
      </c>
      <c r="G11" s="16" t="s">
        <v>103</v>
      </c>
      <c r="H11" s="16" t="s">
        <v>104</v>
      </c>
    </row>
    <row r="12" spans="1:14" ht="30" x14ac:dyDescent="0.25">
      <c r="D12" s="17" t="s">
        <v>105</v>
      </c>
      <c r="E12" s="18">
        <f>IF($B$7="","",K29)</f>
        <v>116.94434145620937</v>
      </c>
      <c r="F12" s="18">
        <f>IF($B$8="","",L29)</f>
        <v>126.1832879989809</v>
      </c>
      <c r="G12" s="18">
        <f>IF($B$9="","",M29)</f>
        <v>134.54030987326055</v>
      </c>
      <c r="H12" s="18">
        <f>IF($B$10="","",N29)</f>
        <v>141.2711993319287</v>
      </c>
    </row>
    <row r="13" spans="1:14" x14ac:dyDescent="0.25">
      <c r="D13" s="17" t="s">
        <v>106</v>
      </c>
      <c r="E13" s="19">
        <f>IF($B$7="","",K29/$B$5)</f>
        <v>0.60592923034305379</v>
      </c>
      <c r="F13" s="19">
        <f>IF($B$8="","",L29/$B$5)</f>
        <v>0.65379941968383892</v>
      </c>
      <c r="G13" s="19">
        <f>IF($B$9="","",M29/$B$5)</f>
        <v>0.69710005115679041</v>
      </c>
      <c r="H13" s="19">
        <f>IF($B$10="","",N29/$B$5)</f>
        <v>0.73197512607216941</v>
      </c>
    </row>
    <row r="14" spans="1:14" ht="30" x14ac:dyDescent="0.25">
      <c r="D14" s="17" t="s">
        <v>107</v>
      </c>
      <c r="E14" s="18">
        <f>IF($B$7="","",K32)</f>
        <v>6.2849440209232723</v>
      </c>
      <c r="F14" s="18">
        <f>IF($B$8="","",L32)</f>
        <v>6.1579754850014536</v>
      </c>
      <c r="G14" s="18">
        <f>IF($B$9="","",M32)</f>
        <v>5.9742498075949175</v>
      </c>
      <c r="H14" s="18">
        <f>IF($B$10="","",N32)</f>
        <v>5.7769204871786588</v>
      </c>
    </row>
    <row r="17" spans="1:16" ht="30" x14ac:dyDescent="0.25">
      <c r="A17" s="3" t="s">
        <v>108</v>
      </c>
      <c r="B17" s="3" t="s">
        <v>109</v>
      </c>
      <c r="C17" s="3" t="s">
        <v>110</v>
      </c>
      <c r="D17" s="3" t="s">
        <v>111</v>
      </c>
      <c r="E17" s="3" t="s">
        <v>112</v>
      </c>
      <c r="F17" s="3" t="s">
        <v>113</v>
      </c>
      <c r="G17" s="3" t="s">
        <v>114</v>
      </c>
      <c r="H17" s="3" t="s">
        <v>115</v>
      </c>
      <c r="I17" s="3" t="s">
        <v>116</v>
      </c>
      <c r="J17" s="3" t="s">
        <v>117</v>
      </c>
      <c r="K17" s="3" t="s">
        <v>118</v>
      </c>
      <c r="L17" s="3" t="s">
        <v>119</v>
      </c>
      <c r="M17" s="3" t="s">
        <v>120</v>
      </c>
      <c r="N17" s="3" t="s">
        <v>121</v>
      </c>
    </row>
    <row r="18" spans="1:16" x14ac:dyDescent="0.25">
      <c r="A18" s="8" t="s">
        <v>63</v>
      </c>
      <c r="B18" s="7">
        <f>INDEX(AccuracyTable!$A$2:$A$31, MATCH($A18, AccuracyTable!$B$2:$B$31, 0))</f>
        <v>3785</v>
      </c>
      <c r="C18" s="20">
        <v>0.7</v>
      </c>
      <c r="D18" s="21">
        <f t="shared" ref="D18:D28" si="0">B18*C18</f>
        <v>2649.5</v>
      </c>
      <c r="E18" s="22">
        <f t="shared" ref="E18:E28" si="1">D18/SUM($D$18:$D$28)</f>
        <v>5.357308950618532E-2</v>
      </c>
      <c r="F18" s="21">
        <f t="shared" ref="F18:F28" si="2">$B$5*E18</f>
        <v>10.339606274693766</v>
      </c>
      <c r="G18" s="22">
        <f>IF($B$7="","",INDEX(AccuracyTable!$C$2:$AF$31, MATCH($A18, AccuracyTable!$B$2:$B$31, 0), MATCH($B$7, AccuracyTable!$C$1:$AF$1, 0)))</f>
        <v>0.90450000000000008</v>
      </c>
      <c r="H18" s="22">
        <f>IF($B$8="","",INDEX(AccuracyTable!$C$2:$AF$31, MATCH($A18, AccuracyTable!$B$2:$B$31, 0), MATCH($B$8, AccuracyTable!$C$1:$AF$1, 0)))</f>
        <v>0.93069999999999997</v>
      </c>
      <c r="I18" s="22">
        <f>IF($B$9="","",INDEX(AccuracyTable!$C$2:$AF$31, MATCH($A18, AccuracyTable!$B$2:$B$31, 0), MATCH($B$9, AccuracyTable!$C$1:$AF$1, 0)))</f>
        <v>0.94450000000000001</v>
      </c>
      <c r="J18" s="22">
        <f>IF($B$10="","",INDEX(AccuracyTable!$C$2:$AF$31, MATCH($A18, AccuracyTable!$B$2:$B$31, 0), MATCH($B$10, AccuracyTable!$C$1:$AF$1, 0)))</f>
        <v>0.94889999999999997</v>
      </c>
      <c r="K18" s="21">
        <f t="shared" ref="K18:K28" si="3">IF($B$7="","",F18*G18)</f>
        <v>9.3521738754605117</v>
      </c>
      <c r="L18" s="21">
        <f t="shared" ref="L18:L28" si="4">IF($B$8="","",F18*H18)</f>
        <v>9.6230715598574879</v>
      </c>
      <c r="M18" s="21">
        <f t="shared" ref="M18:M28" si="5">IF($B$9="","",F18*I18)</f>
        <v>9.7657581264482616</v>
      </c>
      <c r="N18" s="21">
        <f t="shared" ref="N18:N28" si="6">IF($B$10="","",F18*J18)</f>
        <v>9.8112523940569147</v>
      </c>
      <c r="P18" s="26">
        <f>I18-H18</f>
        <v>1.3800000000000034E-2</v>
      </c>
    </row>
    <row r="19" spans="1:16" x14ac:dyDescent="0.25">
      <c r="A19" s="8" t="s">
        <v>64</v>
      </c>
      <c r="B19" s="7">
        <f>INDEX(AccuracyTable!$A$2:$A$31, MATCH($A19, AccuracyTable!$B$2:$B$31, 0))</f>
        <v>4374</v>
      </c>
      <c r="C19" s="20">
        <v>1.4</v>
      </c>
      <c r="D19" s="21">
        <f t="shared" si="0"/>
        <v>6123.5999999999995</v>
      </c>
      <c r="E19" s="22">
        <f t="shared" si="1"/>
        <v>0.12381965310438814</v>
      </c>
      <c r="F19" s="21">
        <f t="shared" si="2"/>
        <v>23.89719304914691</v>
      </c>
      <c r="G19" s="22">
        <f>IF($B$7="","",INDEX(AccuracyTable!$C$2:$AF$31, MATCH($A19, AccuracyTable!$B$2:$B$31, 0), MATCH($B$7, AccuracyTable!$C$1:$AF$1, 0)))</f>
        <v>0.81409999999999993</v>
      </c>
      <c r="H19" s="22">
        <f>IF($B$8="","",INDEX(AccuracyTable!$C$2:$AF$31, MATCH($A19, AccuracyTable!$B$2:$B$31, 0), MATCH($B$8, AccuracyTable!$C$1:$AF$1, 0)))</f>
        <v>0.85769999999999991</v>
      </c>
      <c r="I19" s="22">
        <f>IF($B$9="","",INDEX(AccuracyTable!$C$2:$AF$31, MATCH($A19, AccuracyTable!$B$2:$B$31, 0), MATCH($B$9, AccuracyTable!$C$1:$AF$1, 0)))</f>
        <v>0.8962</v>
      </c>
      <c r="J19" s="22">
        <f>IF($B$10="","",INDEX(AccuracyTable!$C$2:$AF$31, MATCH($A19, AccuracyTable!$B$2:$B$31, 0), MATCH($B$10, AccuracyTable!$C$1:$AF$1, 0)))</f>
        <v>0.9224</v>
      </c>
      <c r="K19" s="21">
        <f t="shared" si="3"/>
        <v>19.4547048613105</v>
      </c>
      <c r="L19" s="21">
        <f t="shared" si="4"/>
        <v>20.496622478253304</v>
      </c>
      <c r="M19" s="21">
        <f t="shared" si="5"/>
        <v>21.41666441064546</v>
      </c>
      <c r="N19" s="21">
        <f t="shared" si="6"/>
        <v>22.042770868533111</v>
      </c>
      <c r="P19" s="26">
        <f t="shared" ref="P19:P28" si="7">I19-H19</f>
        <v>3.850000000000009E-2</v>
      </c>
    </row>
    <row r="20" spans="1:16" x14ac:dyDescent="0.25">
      <c r="A20" s="8" t="s">
        <v>65</v>
      </c>
      <c r="B20" s="7">
        <f>INDEX(AccuracyTable!$A$2:$A$31, MATCH($A20, AccuracyTable!$B$2:$B$31, 0))</f>
        <v>4503</v>
      </c>
      <c r="C20" s="20">
        <v>1.5</v>
      </c>
      <c r="D20" s="21">
        <f t="shared" si="0"/>
        <v>6754.5</v>
      </c>
      <c r="E20" s="22">
        <f t="shared" si="1"/>
        <v>0.13657649861088081</v>
      </c>
      <c r="F20" s="21">
        <f t="shared" si="2"/>
        <v>26.359264231899996</v>
      </c>
      <c r="G20" s="22">
        <f>IF($B$7="","",INDEX(AccuracyTable!$C$2:$AF$31, MATCH($A20, AccuracyTable!$B$2:$B$31, 0), MATCH($B$7, AccuracyTable!$C$1:$AF$1, 0)))</f>
        <v>0.72329999999999994</v>
      </c>
      <c r="H20" s="22">
        <f>IF($B$8="","",INDEX(AccuracyTable!$C$2:$AF$31, MATCH($A20, AccuracyTable!$B$2:$B$31, 0), MATCH($B$8, AccuracyTable!$C$1:$AF$1, 0)))</f>
        <v>0.76840000000000008</v>
      </c>
      <c r="I20" s="22">
        <f>IF($B$9="","",INDEX(AccuracyTable!$C$2:$AF$31, MATCH($A20, AccuracyTable!$B$2:$B$31, 0), MATCH($B$9, AccuracyTable!$C$1:$AF$1, 0)))</f>
        <v>0.81220000000000003</v>
      </c>
      <c r="J20" s="22">
        <f>IF($B$10="","",INDEX(AccuracyTable!$C$2:$AF$31, MATCH($A20, AccuracyTable!$B$2:$B$31, 0), MATCH($B$10, AccuracyTable!$C$1:$AF$1, 0)))</f>
        <v>0.84970000000000001</v>
      </c>
      <c r="K20" s="21">
        <f t="shared" si="3"/>
        <v>19.065655818933266</v>
      </c>
      <c r="L20" s="21">
        <f t="shared" si="4"/>
        <v>20.254458635791959</v>
      </c>
      <c r="M20" s="21">
        <f t="shared" si="5"/>
        <v>21.408994409149177</v>
      </c>
      <c r="N20" s="21">
        <f t="shared" si="6"/>
        <v>22.397466817845427</v>
      </c>
      <c r="P20" s="26">
        <f t="shared" si="7"/>
        <v>4.379999999999995E-2</v>
      </c>
    </row>
    <row r="21" spans="1:16" x14ac:dyDescent="0.25">
      <c r="A21" s="8" t="s">
        <v>66</v>
      </c>
      <c r="B21" s="7">
        <f>INDEX(AccuracyTable!$A$2:$A$31, MATCH($A21, AccuracyTable!$B$2:$B$31, 0))</f>
        <v>4470</v>
      </c>
      <c r="C21" s="20">
        <v>1.5</v>
      </c>
      <c r="D21" s="21">
        <f t="shared" si="0"/>
        <v>6705</v>
      </c>
      <c r="E21" s="22">
        <f t="shared" si="1"/>
        <v>0.13557560488355258</v>
      </c>
      <c r="F21" s="21">
        <f t="shared" si="2"/>
        <v>26.166091742525648</v>
      </c>
      <c r="G21" s="22">
        <f>IF($B$7="","",INDEX(AccuracyTable!$C$2:$AF$31, MATCH($A21, AccuracyTable!$B$2:$B$31, 0), MATCH($B$7, AccuracyTable!$C$1:$AF$1, 0)))</f>
        <v>0.63570000000000004</v>
      </c>
      <c r="H21" s="22">
        <f>IF($B$8="","",INDEX(AccuracyTable!$C$2:$AF$31, MATCH($A21, AccuracyTable!$B$2:$B$31, 0), MATCH($B$8, AccuracyTable!$C$1:$AF$1, 0)))</f>
        <v>0.68140000000000001</v>
      </c>
      <c r="I21" s="22">
        <f>IF($B$9="","",INDEX(AccuracyTable!$C$2:$AF$31, MATCH($A21, AccuracyTable!$B$2:$B$31, 0), MATCH($B$9, AccuracyTable!$C$1:$AF$1, 0)))</f>
        <v>0.72499999999999998</v>
      </c>
      <c r="J21" s="22">
        <f>IF($B$10="","",INDEX(AccuracyTable!$C$2:$AF$31, MATCH($A21, AccuracyTable!$B$2:$B$31, 0), MATCH($B$10, AccuracyTable!$C$1:$AF$1, 0)))</f>
        <v>0.76349999999999996</v>
      </c>
      <c r="K21" s="21">
        <f t="shared" si="3"/>
        <v>16.633784520723555</v>
      </c>
      <c r="L21" s="21">
        <f t="shared" si="4"/>
        <v>17.829574913356975</v>
      </c>
      <c r="M21" s="21">
        <f t="shared" si="5"/>
        <v>18.970416513331095</v>
      </c>
      <c r="N21" s="21">
        <f t="shared" si="6"/>
        <v>19.977811045418331</v>
      </c>
      <c r="P21" s="26">
        <f t="shared" si="7"/>
        <v>4.3599999999999972E-2</v>
      </c>
    </row>
    <row r="22" spans="1:16" x14ac:dyDescent="0.25">
      <c r="A22" s="8" t="s">
        <v>67</v>
      </c>
      <c r="B22" s="7">
        <f>INDEX(AccuracyTable!$A$2:$A$31, MATCH($A22, AccuracyTable!$B$2:$B$31, 0))</f>
        <v>4276</v>
      </c>
      <c r="C22" s="20">
        <v>1.2</v>
      </c>
      <c r="D22" s="21">
        <f t="shared" si="0"/>
        <v>5131.2</v>
      </c>
      <c r="E22" s="22">
        <f t="shared" si="1"/>
        <v>0.10375325037710439</v>
      </c>
      <c r="F22" s="21">
        <f t="shared" si="2"/>
        <v>20.024377322781149</v>
      </c>
      <c r="G22" s="22">
        <f>IF($B$7="","",INDEX(AccuracyTable!$C$2:$AF$31, MATCH($A22, AccuracyTable!$B$2:$B$31, 0), MATCH($B$7, AccuracyTable!$C$1:$AF$1, 0)))</f>
        <v>0.55700000000000005</v>
      </c>
      <c r="H22" s="22">
        <f>IF($B$8="","",INDEX(AccuracyTable!$C$2:$AF$31, MATCH($A22, AccuracyTable!$B$2:$B$31, 0), MATCH($B$8, AccuracyTable!$C$1:$AF$1, 0)))</f>
        <v>0.60780000000000001</v>
      </c>
      <c r="I22" s="22">
        <f>IF($B$9="","",INDEX(AccuracyTable!$C$2:$AF$31, MATCH($A22, AccuracyTable!$B$2:$B$31, 0), MATCH($B$9, AccuracyTable!$C$1:$AF$1, 0)))</f>
        <v>0.65480000000000005</v>
      </c>
      <c r="J22" s="22">
        <f>IF($B$10="","",INDEX(AccuracyTable!$C$2:$AF$31, MATCH($A22, AccuracyTable!$B$2:$B$31, 0), MATCH($B$10, AccuracyTable!$C$1:$AF$1, 0)))</f>
        <v>0.69450000000000001</v>
      </c>
      <c r="K22" s="21">
        <f t="shared" si="3"/>
        <v>11.153578168789101</v>
      </c>
      <c r="L22" s="21">
        <f t="shared" si="4"/>
        <v>12.170816536786383</v>
      </c>
      <c r="M22" s="21">
        <f t="shared" si="5"/>
        <v>13.111962270957097</v>
      </c>
      <c r="N22" s="21">
        <f t="shared" si="6"/>
        <v>13.906930050671509</v>
      </c>
      <c r="P22" s="26">
        <f t="shared" si="7"/>
        <v>4.7000000000000042E-2</v>
      </c>
    </row>
    <row r="23" spans="1:16" x14ac:dyDescent="0.25">
      <c r="A23" s="8" t="s">
        <v>68</v>
      </c>
      <c r="B23" s="7">
        <f>INDEX(AccuracyTable!$A$2:$A$31, MATCH($A23, AccuracyTable!$B$2:$B$31, 0))</f>
        <v>4380</v>
      </c>
      <c r="C23" s="20">
        <v>1.3</v>
      </c>
      <c r="D23" s="21">
        <f t="shared" si="0"/>
        <v>5694</v>
      </c>
      <c r="E23" s="22">
        <f t="shared" si="1"/>
        <v>0.115133108755697</v>
      </c>
      <c r="F23" s="21">
        <f t="shared" si="2"/>
        <v>22.220689989849522</v>
      </c>
      <c r="G23" s="22">
        <f>IF($B$7="","",INDEX(AccuracyTable!$C$2:$AF$31, MATCH($A23, AccuracyTable!$B$2:$B$31, 0), MATCH($B$7, AccuracyTable!$C$1:$AF$1, 0)))</f>
        <v>0.49230000000000002</v>
      </c>
      <c r="H23" s="22">
        <f>IF($B$8="","",INDEX(AccuracyTable!$C$2:$AF$31, MATCH($A23, AccuracyTable!$B$2:$B$31, 0), MATCH($B$8, AccuracyTable!$C$1:$AF$1, 0)))</f>
        <v>0.54820000000000002</v>
      </c>
      <c r="I23" s="22">
        <f>IF($B$9="","",INDEX(AccuracyTable!$C$2:$AF$31, MATCH($A23, AccuracyTable!$B$2:$B$31, 0), MATCH($B$9, AccuracyTable!$C$1:$AF$1, 0)))</f>
        <v>0.59819999999999995</v>
      </c>
      <c r="J23" s="22">
        <f>IF($B$10="","",INDEX(AccuracyTable!$C$2:$AF$31, MATCH($A23, AccuracyTable!$B$2:$B$31, 0), MATCH($B$10, AccuracyTable!$C$1:$AF$1, 0)))</f>
        <v>0.6391</v>
      </c>
      <c r="K23" s="21">
        <f t="shared" si="3"/>
        <v>10.93924568200292</v>
      </c>
      <c r="L23" s="21">
        <f t="shared" si="4"/>
        <v>12.181382252435508</v>
      </c>
      <c r="M23" s="21">
        <f t="shared" si="5"/>
        <v>13.292416751927982</v>
      </c>
      <c r="N23" s="21">
        <f t="shared" si="6"/>
        <v>14.20124297251283</v>
      </c>
      <c r="P23" s="26">
        <f t="shared" si="7"/>
        <v>4.9999999999999933E-2</v>
      </c>
    </row>
    <row r="24" spans="1:16" x14ac:dyDescent="0.25">
      <c r="A24" s="8" t="s">
        <v>69</v>
      </c>
      <c r="B24" s="7">
        <f>INDEX(AccuracyTable!$A$2:$A$31, MATCH($A24, AccuracyTable!$B$2:$B$31, 0))</f>
        <v>4674</v>
      </c>
      <c r="C24" s="20">
        <v>1.5</v>
      </c>
      <c r="D24" s="21">
        <f t="shared" si="0"/>
        <v>7011</v>
      </c>
      <c r="E24" s="22">
        <f t="shared" si="1"/>
        <v>0.14176294792521807</v>
      </c>
      <c r="F24" s="21">
        <f t="shared" si="2"/>
        <v>27.360248949567087</v>
      </c>
      <c r="G24" s="22">
        <f>IF($B$7="","",INDEX(AccuracyTable!$C$2:$AF$31, MATCH($A24, AccuracyTable!$B$2:$B$31, 0), MATCH($B$7, AccuracyTable!$C$1:$AF$1, 0)))</f>
        <v>0.43790000000000001</v>
      </c>
      <c r="H24" s="22">
        <f>IF($B$8="","",INDEX(AccuracyTable!$C$2:$AF$31, MATCH($A24, AccuracyTable!$B$2:$B$31, 0), MATCH($B$8, AccuracyTable!$C$1:$AF$1, 0)))</f>
        <v>0.501</v>
      </c>
      <c r="I24" s="22">
        <f>IF($B$9="","",INDEX(AccuracyTable!$C$2:$AF$31, MATCH($A24, AccuracyTable!$B$2:$B$31, 0), MATCH($B$9, AccuracyTable!$C$1:$AF$1, 0)))</f>
        <v>0.55779999999999996</v>
      </c>
      <c r="J24" s="22">
        <f>IF($B$10="","",INDEX(AccuracyTable!$C$2:$AF$31, MATCH($A24, AccuracyTable!$B$2:$B$31, 0), MATCH($B$10, AccuracyTable!$C$1:$AF$1, 0)))</f>
        <v>0.60340000000000005</v>
      </c>
      <c r="K24" s="21">
        <f t="shared" si="3"/>
        <v>11.981053015015428</v>
      </c>
      <c r="L24" s="21">
        <f t="shared" si="4"/>
        <v>13.70748472373311</v>
      </c>
      <c r="M24" s="21">
        <f t="shared" si="5"/>
        <v>15.261546864068521</v>
      </c>
      <c r="N24" s="21">
        <f t="shared" si="6"/>
        <v>16.50917421616878</v>
      </c>
      <c r="P24" s="26">
        <f t="shared" si="7"/>
        <v>5.6799999999999962E-2</v>
      </c>
    </row>
    <row r="25" spans="1:16" x14ac:dyDescent="0.25">
      <c r="A25" s="8" t="s">
        <v>70</v>
      </c>
      <c r="B25" s="7">
        <f>INDEX(AccuracyTable!$A$2:$A$31, MATCH($A25, AccuracyTable!$B$2:$B$31, 0))</f>
        <v>5269</v>
      </c>
      <c r="C25" s="20">
        <v>1.3</v>
      </c>
      <c r="D25" s="21">
        <f t="shared" si="0"/>
        <v>6849.7</v>
      </c>
      <c r="E25" s="22">
        <f t="shared" si="1"/>
        <v>0.13850144977939896</v>
      </c>
      <c r="F25" s="21">
        <f t="shared" si="2"/>
        <v>26.730779807424</v>
      </c>
      <c r="G25" s="22">
        <f>IF($B$7="","",INDEX(AccuracyTable!$C$2:$AF$31, MATCH($A25, AccuracyTable!$B$2:$B$31, 0), MATCH($B$7, AccuracyTable!$C$1:$AF$1, 0)))</f>
        <v>0.33510000000000001</v>
      </c>
      <c r="H25" s="22">
        <f>IF($B$8="","",INDEX(AccuracyTable!$C$2:$AF$31, MATCH($A25, AccuracyTable!$B$2:$B$31, 0), MATCH($B$8, AccuracyTable!$C$1:$AF$1, 0)))</f>
        <v>0.39329999999999998</v>
      </c>
      <c r="I25" s="22">
        <f>IF($B$9="","",INDEX(AccuracyTable!$C$2:$AF$31, MATCH($A25, AccuracyTable!$B$2:$B$31, 0), MATCH($B$9, AccuracyTable!$C$1:$AF$1, 0)))</f>
        <v>0.44540000000000002</v>
      </c>
      <c r="J25" s="22">
        <f>IF($B$10="","",INDEX(AccuracyTable!$C$2:$AF$31, MATCH($A25, AccuracyTable!$B$2:$B$31, 0), MATCH($B$10, AccuracyTable!$C$1:$AF$1, 0)))</f>
        <v>0.48699999999999999</v>
      </c>
      <c r="K25" s="21">
        <f t="shared" si="3"/>
        <v>8.9574843134677824</v>
      </c>
      <c r="L25" s="21">
        <f t="shared" si="4"/>
        <v>10.513215698259859</v>
      </c>
      <c r="M25" s="21">
        <f t="shared" si="5"/>
        <v>11.905889326226649</v>
      </c>
      <c r="N25" s="21">
        <f t="shared" si="6"/>
        <v>13.017889766215488</v>
      </c>
      <c r="P25" s="26">
        <f t="shared" si="7"/>
        <v>5.2100000000000035E-2</v>
      </c>
    </row>
    <row r="26" spans="1:16" x14ac:dyDescent="0.25">
      <c r="A26" s="8" t="s">
        <v>79</v>
      </c>
      <c r="B26" s="7">
        <f>INDEX(AccuracyTable!$A$2:$A$31, MATCH($A26, AccuracyTable!$B$2:$B$31, 0))</f>
        <v>2558</v>
      </c>
      <c r="C26" s="20">
        <v>0.6</v>
      </c>
      <c r="D26" s="21">
        <f t="shared" si="0"/>
        <v>1534.8</v>
      </c>
      <c r="E26" s="22">
        <f t="shared" si="1"/>
        <v>3.1033771569765323E-2</v>
      </c>
      <c r="F26" s="21">
        <f t="shared" si="2"/>
        <v>5.9895179129647076</v>
      </c>
      <c r="G26" s="22">
        <f>IF($B$7="","",INDEX(AccuracyTable!$C$2:$AF$31, MATCH($A26, AccuracyTable!$B$2:$B$31, 0), MATCH($B$7, AccuracyTable!$C$1:$AF$1, 0)))</f>
        <v>0.95</v>
      </c>
      <c r="H26" s="22">
        <f>IF($B$8="","",INDEX(AccuracyTable!$C$2:$AF$31, MATCH($A26, AccuracyTable!$B$2:$B$31, 0), MATCH($B$8, AccuracyTable!$C$1:$AF$1, 0)))</f>
        <v>0.95</v>
      </c>
      <c r="I26" s="22">
        <f>IF($B$9="","",INDEX(AccuracyTable!$C$2:$AF$31, MATCH($A26, AccuracyTable!$B$2:$B$31, 0), MATCH($B$9, AccuracyTable!$C$1:$AF$1, 0)))</f>
        <v>0.95</v>
      </c>
      <c r="J26" s="22">
        <f>IF($B$10="","",INDEX(AccuracyTable!$C$2:$AF$31, MATCH($A26, AccuracyTable!$B$2:$B$31, 0), MATCH($B$10, AccuracyTable!$C$1:$AF$1, 0)))</f>
        <v>0.95</v>
      </c>
      <c r="K26" s="21">
        <f t="shared" si="3"/>
        <v>5.6900420173164719</v>
      </c>
      <c r="L26" s="21">
        <f t="shared" si="4"/>
        <v>5.6900420173164719</v>
      </c>
      <c r="M26" s="21">
        <f t="shared" si="5"/>
        <v>5.6900420173164719</v>
      </c>
      <c r="N26" s="21">
        <f t="shared" si="6"/>
        <v>5.6900420173164719</v>
      </c>
      <c r="P26" s="26">
        <f t="shared" si="7"/>
        <v>0</v>
      </c>
    </row>
    <row r="27" spans="1:16" x14ac:dyDescent="0.25">
      <c r="A27" s="8" t="s">
        <v>80</v>
      </c>
      <c r="B27" s="7">
        <f>INDEX(AccuracyTable!$A$2:$A$31, MATCH($A27, AccuracyTable!$B$2:$B$31, 0))</f>
        <v>2005</v>
      </c>
      <c r="C27" s="20">
        <v>0.5</v>
      </c>
      <c r="D27" s="21">
        <f t="shared" si="0"/>
        <v>1002.5</v>
      </c>
      <c r="E27" s="22">
        <f t="shared" si="1"/>
        <v>2.0270625487809314E-2</v>
      </c>
      <c r="F27" s="21">
        <f t="shared" si="2"/>
        <v>3.9122307191471974</v>
      </c>
      <c r="G27" s="22">
        <f>IF($B$7="","",INDEX(AccuracyTable!$C$2:$AF$31, MATCH($A27, AccuracyTable!$B$2:$B$31, 0), MATCH($B$7, AccuracyTable!$C$1:$AF$1, 0)))</f>
        <v>0.95</v>
      </c>
      <c r="H27" s="22">
        <f>IF($B$8="","",INDEX(AccuracyTable!$C$2:$AF$31, MATCH($A27, AccuracyTable!$B$2:$B$31, 0), MATCH($B$8, AccuracyTable!$C$1:$AF$1, 0)))</f>
        <v>0.95</v>
      </c>
      <c r="I27" s="22">
        <f>IF($B$9="","",INDEX(AccuracyTable!$C$2:$AF$31, MATCH($A27, AccuracyTable!$B$2:$B$31, 0), MATCH($B$9, AccuracyTable!$C$1:$AF$1, 0)))</f>
        <v>0.95</v>
      </c>
      <c r="J27" s="22">
        <f>IF($B$10="","",INDEX(AccuracyTable!$C$2:$AF$31, MATCH($A27, AccuracyTable!$B$2:$B$31, 0), MATCH($B$10, AccuracyTable!$C$1:$AF$1, 0)))</f>
        <v>0.95</v>
      </c>
      <c r="K27" s="21">
        <f t="shared" si="3"/>
        <v>3.7166191831898372</v>
      </c>
      <c r="L27" s="21">
        <f t="shared" si="4"/>
        <v>3.7166191831898372</v>
      </c>
      <c r="M27" s="21">
        <f t="shared" si="5"/>
        <v>3.7166191831898372</v>
      </c>
      <c r="N27" s="21">
        <f t="shared" si="6"/>
        <v>3.7166191831898372</v>
      </c>
      <c r="P27" s="26">
        <f t="shared" si="7"/>
        <v>0</v>
      </c>
    </row>
    <row r="28" spans="1:16" x14ac:dyDescent="0.25">
      <c r="A28" s="8" t="s">
        <v>81</v>
      </c>
      <c r="B28" s="7">
        <f>INDEX(AccuracyTable!$A$2:$A$31, MATCH($A28, AccuracyTable!$B$2:$B$31, 0))</f>
        <v>2013</v>
      </c>
      <c r="C28" s="20">
        <v>0</v>
      </c>
      <c r="D28" s="21">
        <f t="shared" si="0"/>
        <v>0</v>
      </c>
      <c r="E28" s="22">
        <f t="shared" si="1"/>
        <v>0</v>
      </c>
      <c r="F28" s="21">
        <f t="shared" si="2"/>
        <v>0</v>
      </c>
      <c r="G28" s="22">
        <f>IF($B$7="","",INDEX(AccuracyTable!$C$2:$AF$31, MATCH($A28, AccuracyTable!$B$2:$B$31, 0), MATCH($B$7, AccuracyTable!$C$1:$AF$1, 0)))</f>
        <v>0.95</v>
      </c>
      <c r="H28" s="22">
        <f>IF($B$8="","",INDEX(AccuracyTable!$C$2:$AF$31, MATCH($A28, AccuracyTable!$B$2:$B$31, 0), MATCH($B$8, AccuracyTable!$C$1:$AF$1, 0)))</f>
        <v>0.95</v>
      </c>
      <c r="I28" s="22">
        <f>IF($B$9="","",INDEX(AccuracyTable!$C$2:$AF$31, MATCH($A28, AccuracyTable!$B$2:$B$31, 0), MATCH($B$9, AccuracyTable!$C$1:$AF$1, 0)))</f>
        <v>0.95</v>
      </c>
      <c r="J28" s="22">
        <f>IF($B$10="","",INDEX(AccuracyTable!$C$2:$AF$31, MATCH($A28, AccuracyTable!$B$2:$B$31, 0), MATCH($B$10, AccuracyTable!$C$1:$AF$1, 0)))</f>
        <v>0.95</v>
      </c>
      <c r="K28" s="21">
        <f t="shared" si="3"/>
        <v>0</v>
      </c>
      <c r="L28" s="21">
        <f t="shared" si="4"/>
        <v>0</v>
      </c>
      <c r="M28" s="21">
        <f t="shared" si="5"/>
        <v>0</v>
      </c>
      <c r="N28" s="21">
        <f t="shared" si="6"/>
        <v>0</v>
      </c>
      <c r="P28" s="26">
        <f t="shared" si="7"/>
        <v>0</v>
      </c>
    </row>
    <row r="29" spans="1:16" x14ac:dyDescent="0.25">
      <c r="A29" s="23" t="s">
        <v>122</v>
      </c>
      <c r="D29" s="24">
        <f>SUM($D$18:$D$28)</f>
        <v>49455.8</v>
      </c>
      <c r="E29" s="25">
        <f>SUM($E$18:$E$28)</f>
        <v>0.99999999999999989</v>
      </c>
      <c r="F29" s="24">
        <f>SUM($F$18:$F$28)</f>
        <v>193</v>
      </c>
      <c r="K29" s="24">
        <f>SUM($K$18:$K$28)</f>
        <v>116.94434145620937</v>
      </c>
      <c r="L29" s="24">
        <f>SUM($L$18:$L$28)</f>
        <v>126.1832879989809</v>
      </c>
      <c r="M29" s="24">
        <f>SUM($M$18:$M$28)</f>
        <v>134.54030987326055</v>
      </c>
      <c r="N29" s="24">
        <f>SUM($N$18:$N$28)</f>
        <v>141.2711993319287</v>
      </c>
    </row>
    <row r="31" spans="1:16" ht="30" x14ac:dyDescent="0.25">
      <c r="A31" s="17" t="s">
        <v>123</v>
      </c>
      <c r="K31" s="21">
        <f>IF($B$7="","",SUMPRODUCT($F$18:$F$28,$G$18:$G$28,(1-$G$18:$G$28)))</f>
        <v>39.500521346139188</v>
      </c>
      <c r="L31" s="21">
        <f>IF($B$8="","",SUMPRODUCT($F$18:$F$28,$H$18:$H$28,(1-$H$18:$H$28)))</f>
        <v>37.920662073878887</v>
      </c>
      <c r="M31" s="21">
        <f>IF($B$9="","",SUMPRODUCT($F$18:$F$28,$I$18:$I$28,(1-$I$18:$I$28)))</f>
        <v>35.691660763547908</v>
      </c>
      <c r="N31" s="21">
        <f>IF($B$10="","",SUMPRODUCT($F$18:$F$28,$J$18:$J$28,(1-$J$18:$J$28)))</f>
        <v>33.372810315184509</v>
      </c>
    </row>
    <row r="32" spans="1:16" ht="30" x14ac:dyDescent="0.25">
      <c r="A32" s="17" t="s">
        <v>124</v>
      </c>
      <c r="K32" s="21">
        <f>IF($B$7="","",SQRT(K31))</f>
        <v>6.2849440209232723</v>
      </c>
      <c r="L32" s="21">
        <f>IF($B$8="","",SQRT(L31))</f>
        <v>6.1579754850014536</v>
      </c>
      <c r="M32" s="21">
        <f>IF($B$9="","",SQRT(M31))</f>
        <v>5.9742498075949175</v>
      </c>
      <c r="N32" s="21">
        <f>IF($B$10="","",SQRT(N31))</f>
        <v>5.7769204871786588</v>
      </c>
    </row>
  </sheetData>
  <mergeCells count="4">
    <mergeCell ref="A3:C3"/>
    <mergeCell ref="D3:N3"/>
    <mergeCell ref="A6:C6"/>
    <mergeCell ref="A1:N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32"/>
  <sheetViews>
    <sheetView showGridLines="0" topLeftCell="A4" zoomScale="160" zoomScaleNormal="160" workbookViewId="0">
      <selection activeCell="A6" sqref="A6:C6"/>
    </sheetView>
  </sheetViews>
  <sheetFormatPr defaultRowHeight="15" x14ac:dyDescent="0.25"/>
  <cols>
    <col min="1" max="1" width="10" customWidth="1"/>
    <col min="2" max="2" width="8" customWidth="1"/>
    <col min="3" max="5" width="12" customWidth="1"/>
    <col min="6" max="6" width="13" customWidth="1"/>
    <col min="7" max="10" width="12" customWidth="1"/>
    <col min="11" max="14" width="14" customWidth="1"/>
  </cols>
  <sheetData>
    <row r="1" spans="1:14" x14ac:dyDescent="0.25">
      <c r="A1" s="32" t="s">
        <v>134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</row>
    <row r="3" spans="1:14" x14ac:dyDescent="0.25">
      <c r="A3" s="27" t="s">
        <v>86</v>
      </c>
      <c r="B3" s="28"/>
      <c r="C3" s="28"/>
      <c r="D3" s="27" t="s">
        <v>87</v>
      </c>
      <c r="E3" s="28"/>
      <c r="F3" s="28"/>
      <c r="G3" s="28"/>
      <c r="H3" s="28"/>
      <c r="I3" s="28"/>
      <c r="J3" s="28"/>
      <c r="K3" s="28"/>
      <c r="L3" s="28"/>
      <c r="M3" s="28"/>
      <c r="N3" s="28"/>
    </row>
    <row r="4" spans="1:14" ht="75" x14ac:dyDescent="0.25">
      <c r="A4" t="s">
        <v>88</v>
      </c>
      <c r="B4" s="10">
        <v>11</v>
      </c>
      <c r="D4" s="1" t="s">
        <v>89</v>
      </c>
      <c r="E4" s="11">
        <f>M29</f>
        <v>149.62154997925018</v>
      </c>
    </row>
    <row r="5" spans="1:14" ht="60" x14ac:dyDescent="0.25">
      <c r="A5" t="s">
        <v>90</v>
      </c>
      <c r="B5" s="12">
        <v>197</v>
      </c>
      <c r="D5" s="1" t="s">
        <v>91</v>
      </c>
      <c r="E5" s="13">
        <f>ROUNDUP($E$4,0)</f>
        <v>150</v>
      </c>
    </row>
    <row r="6" spans="1:14" x14ac:dyDescent="0.25">
      <c r="A6" s="31" t="s">
        <v>92</v>
      </c>
      <c r="B6" s="28"/>
      <c r="C6" s="28"/>
    </row>
    <row r="7" spans="1:14" ht="30" x14ac:dyDescent="0.25">
      <c r="A7" t="s">
        <v>93</v>
      </c>
      <c r="B7" s="14">
        <f>IF(OR($B$4-1&lt;0.5,$B$4-1&gt;15),"",$B$4-1)</f>
        <v>10</v>
      </c>
      <c r="D7" s="1" t="s">
        <v>94</v>
      </c>
      <c r="E7" s="15">
        <f>IF($B$7="",-1,IF(K32=0,IF(K29&gt;=$E$5,1,0),1-_xlfn.NORM.DIST($E$5-0.5,K29,K32,TRUE)))</f>
        <v>1.367182545000023E-2</v>
      </c>
    </row>
    <row r="8" spans="1:14" ht="45" x14ac:dyDescent="0.25">
      <c r="A8" t="s">
        <v>95</v>
      </c>
      <c r="B8" s="14">
        <f>IF(OR($B$4-0.5&lt;0.5,$B$4-0.5&gt;15),"",$B$4-0.5)</f>
        <v>10.5</v>
      </c>
      <c r="D8" s="1" t="s">
        <v>96</v>
      </c>
      <c r="E8" s="15">
        <f>IF($B$8="",-1,IF(L32=0,IF(L29&gt;=$E$5,1,0),1-_xlfn.NORM.DIST($E$5-0.5,L29,L32,TRUE)))</f>
        <v>0.13684412570170645</v>
      </c>
    </row>
    <row r="9" spans="1:14" ht="30" x14ac:dyDescent="0.25">
      <c r="A9" t="s">
        <v>97</v>
      </c>
      <c r="B9" s="14">
        <f>$B$4</f>
        <v>11</v>
      </c>
      <c r="D9" s="1" t="s">
        <v>98</v>
      </c>
      <c r="E9" s="15">
        <f>IF($B$9="",-1,IF(M32=0,IF(M29&gt;=$E$5,1,0),1-_xlfn.NORM.DIST($E$5-0.5,M29,M32,TRUE)))</f>
        <v>0.50853367964237151</v>
      </c>
    </row>
    <row r="10" spans="1:14" ht="45" x14ac:dyDescent="0.25">
      <c r="A10" t="s">
        <v>99</v>
      </c>
      <c r="B10" s="14">
        <f>IF(OR($B$4+0.5&lt;0.5,$B$4+0.5&gt;15),"",$B$4+0.5)</f>
        <v>11.5</v>
      </c>
      <c r="D10" s="1" t="s">
        <v>100</v>
      </c>
      <c r="E10" s="15">
        <f>IF($B$10="",-1,IF(N32=0,IF(N29&gt;=$E$5,1,0),1-_xlfn.NORM.DIST($E$5-0.5,N29,N32,TRUE)))</f>
        <v>0.85098163203421118</v>
      </c>
    </row>
    <row r="11" spans="1:14" x14ac:dyDescent="0.25">
      <c r="E11" s="16" t="s">
        <v>101</v>
      </c>
      <c r="F11" s="16" t="s">
        <v>102</v>
      </c>
      <c r="G11" s="16" t="s">
        <v>103</v>
      </c>
      <c r="H11" s="16" t="s">
        <v>104</v>
      </c>
    </row>
    <row r="12" spans="1:14" ht="30" x14ac:dyDescent="0.25">
      <c r="D12" s="17" t="s">
        <v>105</v>
      </c>
      <c r="E12" s="18">
        <f>IF($B$7="","",K29)</f>
        <v>136.00659436441276</v>
      </c>
      <c r="F12" s="18">
        <f>IF($B$8="","",L29)</f>
        <v>143.02499562487259</v>
      </c>
      <c r="G12" s="18">
        <f>IF($B$9="","",M29)</f>
        <v>149.62154997925018</v>
      </c>
      <c r="H12" s="18">
        <f>IF($B$10="","",N29)</f>
        <v>155.16942619724347</v>
      </c>
    </row>
    <row r="13" spans="1:14" x14ac:dyDescent="0.25">
      <c r="D13" s="17" t="s">
        <v>106</v>
      </c>
      <c r="E13" s="19">
        <f>IF($B$7="","",K29/$B$5)</f>
        <v>0.6903888038802678</v>
      </c>
      <c r="F13" s="19">
        <f>IF($B$8="","",L29/$B$5)</f>
        <v>0.72601520621762738</v>
      </c>
      <c r="G13" s="19">
        <f>IF($B$9="","",M29/$B$5)</f>
        <v>0.75950025370177754</v>
      </c>
      <c r="H13" s="19">
        <f>IF($B$10="","",N29/$B$5)</f>
        <v>0.78766206191494148</v>
      </c>
    </row>
    <row r="14" spans="1:14" ht="30" x14ac:dyDescent="0.25">
      <c r="D14" s="17" t="s">
        <v>107</v>
      </c>
      <c r="E14" s="18">
        <f>IF($B$7="","",K32)</f>
        <v>6.1150858889432955</v>
      </c>
      <c r="F14" s="18">
        <f>IF($B$8="","",L32)</f>
        <v>5.9153617043938045</v>
      </c>
      <c r="G14" s="18">
        <f>IF($B$9="","",M32)</f>
        <v>5.6819249880729563</v>
      </c>
      <c r="H14" s="18">
        <f>IF($B$10="","",N32)</f>
        <v>5.4479519236151903</v>
      </c>
    </row>
    <row r="17" spans="1:16" ht="30" x14ac:dyDescent="0.25">
      <c r="A17" s="3" t="s">
        <v>108</v>
      </c>
      <c r="B17" s="3" t="s">
        <v>109</v>
      </c>
      <c r="C17" s="3" t="s">
        <v>110</v>
      </c>
      <c r="D17" s="3" t="s">
        <v>111</v>
      </c>
      <c r="E17" s="3" t="s">
        <v>112</v>
      </c>
      <c r="F17" s="3" t="s">
        <v>113</v>
      </c>
      <c r="G17" s="3" t="s">
        <v>114</v>
      </c>
      <c r="H17" s="3" t="s">
        <v>115</v>
      </c>
      <c r="I17" s="3" t="s">
        <v>116</v>
      </c>
      <c r="J17" s="3" t="s">
        <v>117</v>
      </c>
      <c r="K17" s="3" t="s">
        <v>118</v>
      </c>
      <c r="L17" s="3" t="s">
        <v>119</v>
      </c>
      <c r="M17" s="3" t="s">
        <v>120</v>
      </c>
      <c r="N17" s="3" t="s">
        <v>121</v>
      </c>
    </row>
    <row r="18" spans="1:16" x14ac:dyDescent="0.25">
      <c r="A18" s="8" t="s">
        <v>63</v>
      </c>
      <c r="B18" s="7">
        <f>INDEX(AccuracyTable!$A$2:$A$31, MATCH($A18, AccuracyTable!$B$2:$B$31, 0))</f>
        <v>3785</v>
      </c>
      <c r="C18" s="20">
        <v>0.7</v>
      </c>
      <c r="D18" s="21">
        <f t="shared" ref="D18:D28" si="0">B18*C18</f>
        <v>2649.5</v>
      </c>
      <c r="E18" s="22">
        <f t="shared" ref="E18:E28" si="1">D18/SUM($D$18:$D$28)</f>
        <v>5.539207743810335E-2</v>
      </c>
      <c r="F18" s="21">
        <f t="shared" ref="F18:F28" si="2">$B$5*E18</f>
        <v>10.912239255306361</v>
      </c>
      <c r="G18" s="22">
        <f>IF($B$7="","",INDEX(AccuracyTable!$C$2:$AF$31, MATCH($A18, AccuracyTable!$B$2:$B$31, 0), MATCH($B$7, AccuracyTable!$C$1:$AF$1, 0)))</f>
        <v>0.94450000000000001</v>
      </c>
      <c r="H18" s="22">
        <f>IF($B$8="","",INDEX(AccuracyTable!$C$2:$AF$31, MATCH($A18, AccuracyTable!$B$2:$B$31, 0), MATCH($B$8, AccuracyTable!$C$1:$AF$1, 0)))</f>
        <v>0.94889999999999997</v>
      </c>
      <c r="I18" s="22">
        <f>IF($B$9="","",INDEX(AccuracyTable!$C$2:$AF$31, MATCH($A18, AccuracyTable!$B$2:$B$31, 0), MATCH($B$9, AccuracyTable!$C$1:$AF$1, 0)))</f>
        <v>0.94989999999999997</v>
      </c>
      <c r="J18" s="22">
        <f>IF($B$10="","",INDEX(AccuracyTable!$C$2:$AF$31, MATCH($A18, AccuracyTable!$B$2:$B$31, 0), MATCH($B$10, AccuracyTable!$C$1:$AF$1, 0)))</f>
        <v>0.95</v>
      </c>
      <c r="K18" s="21">
        <f t="shared" ref="K18:K28" si="3">IF($B$7="","",F18*G18)</f>
        <v>10.306609976636858</v>
      </c>
      <c r="L18" s="21">
        <f t="shared" ref="L18:L28" si="4">IF($B$8="","",F18*H18)</f>
        <v>10.354623829360206</v>
      </c>
      <c r="M18" s="21">
        <f t="shared" ref="M18:M28" si="5">IF($B$9="","",F18*I18)</f>
        <v>10.365536068615512</v>
      </c>
      <c r="N18" s="21">
        <f t="shared" ref="N18:N28" si="6">IF($B$10="","",F18*J18)</f>
        <v>10.366627292541041</v>
      </c>
      <c r="P18" s="26">
        <f>I18-H18</f>
        <v>1.0000000000000009E-3</v>
      </c>
    </row>
    <row r="19" spans="1:16" x14ac:dyDescent="0.25">
      <c r="A19" s="8" t="s">
        <v>64</v>
      </c>
      <c r="B19" s="7">
        <f>INDEX(AccuracyTable!$A$2:$A$31, MATCH($A19, AccuracyTable!$B$2:$B$31, 0))</f>
        <v>4374</v>
      </c>
      <c r="C19" s="20">
        <v>1</v>
      </c>
      <c r="D19" s="21">
        <f t="shared" si="0"/>
        <v>4374</v>
      </c>
      <c r="E19" s="22">
        <f t="shared" si="1"/>
        <v>9.1445535653619195E-2</v>
      </c>
      <c r="F19" s="21">
        <f t="shared" si="2"/>
        <v>18.01477052376298</v>
      </c>
      <c r="G19" s="22">
        <f>IF($B$7="","",INDEX(AccuracyTable!$C$2:$AF$31, MATCH($A19, AccuracyTable!$B$2:$B$31, 0), MATCH($B$7, AccuracyTable!$C$1:$AF$1, 0)))</f>
        <v>0.8962</v>
      </c>
      <c r="H19" s="22">
        <f>IF($B$8="","",INDEX(AccuracyTable!$C$2:$AF$31, MATCH($A19, AccuracyTable!$B$2:$B$31, 0), MATCH($B$8, AccuracyTable!$C$1:$AF$1, 0)))</f>
        <v>0.9224</v>
      </c>
      <c r="I19" s="22">
        <f>IF($B$9="","",INDEX(AccuracyTable!$C$2:$AF$31, MATCH($A19, AccuracyTable!$B$2:$B$31, 0), MATCH($B$9, AccuracyTable!$C$1:$AF$1, 0)))</f>
        <v>0.93920000000000003</v>
      </c>
      <c r="J19" s="22">
        <f>IF($B$10="","",INDEX(AccuracyTable!$C$2:$AF$31, MATCH($A19, AccuracyTable!$B$2:$B$31, 0), MATCH($B$10, AccuracyTable!$C$1:$AF$1, 0)))</f>
        <v>0.9466</v>
      </c>
      <c r="K19" s="21">
        <f t="shared" si="3"/>
        <v>16.144837343396382</v>
      </c>
      <c r="L19" s="21">
        <f t="shared" si="4"/>
        <v>16.616824331118973</v>
      </c>
      <c r="M19" s="21">
        <f t="shared" si="5"/>
        <v>16.919472475918191</v>
      </c>
      <c r="N19" s="21">
        <f t="shared" si="6"/>
        <v>17.052781777794038</v>
      </c>
      <c r="P19" s="26">
        <f t="shared" ref="P19:P28" si="7">I19-H19</f>
        <v>1.6800000000000037E-2</v>
      </c>
    </row>
    <row r="20" spans="1:16" x14ac:dyDescent="0.25">
      <c r="A20" s="8" t="s">
        <v>65</v>
      </c>
      <c r="B20" s="7">
        <f>INDEX(AccuracyTable!$A$2:$A$31, MATCH($A20, AccuracyTable!$B$2:$B$31, 0))</f>
        <v>4503</v>
      </c>
      <c r="C20" s="20">
        <v>1.5</v>
      </c>
      <c r="D20" s="21">
        <f t="shared" si="0"/>
        <v>6754.5</v>
      </c>
      <c r="E20" s="22">
        <f t="shared" si="1"/>
        <v>0.14121373355564035</v>
      </c>
      <c r="F20" s="21">
        <f t="shared" si="2"/>
        <v>27.819105510461149</v>
      </c>
      <c r="G20" s="22">
        <f>IF($B$7="","",INDEX(AccuracyTable!$C$2:$AF$31, MATCH($A20, AccuracyTable!$B$2:$B$31, 0), MATCH($B$7, AccuracyTable!$C$1:$AF$1, 0)))</f>
        <v>0.81220000000000003</v>
      </c>
      <c r="H20" s="22">
        <f>IF($B$8="","",INDEX(AccuracyTable!$C$2:$AF$31, MATCH($A20, AccuracyTable!$B$2:$B$31, 0), MATCH($B$8, AccuracyTable!$C$1:$AF$1, 0)))</f>
        <v>0.84970000000000001</v>
      </c>
      <c r="I20" s="22">
        <f>IF($B$9="","",INDEX(AccuracyTable!$C$2:$AF$31, MATCH($A20, AccuracyTable!$B$2:$B$31, 0), MATCH($B$9, AccuracyTable!$C$1:$AF$1, 0)))</f>
        <v>0.88489999999999991</v>
      </c>
      <c r="J20" s="22">
        <f>IF($B$10="","",INDEX(AccuracyTable!$C$2:$AF$31, MATCH($A20, AccuracyTable!$B$2:$B$31, 0), MATCH($B$10, AccuracyTable!$C$1:$AF$1, 0)))</f>
        <v>0.91189999999999993</v>
      </c>
      <c r="K20" s="21">
        <f t="shared" si="3"/>
        <v>22.594677495596546</v>
      </c>
      <c r="L20" s="21">
        <f t="shared" si="4"/>
        <v>23.637893952238837</v>
      </c>
      <c r="M20" s="21">
        <f t="shared" si="5"/>
        <v>24.617126466207068</v>
      </c>
      <c r="N20" s="21">
        <f t="shared" si="6"/>
        <v>25.368242314989519</v>
      </c>
      <c r="P20" s="26">
        <f t="shared" si="7"/>
        <v>3.5199999999999898E-2</v>
      </c>
    </row>
    <row r="21" spans="1:16" x14ac:dyDescent="0.25">
      <c r="A21" s="8" t="s">
        <v>66</v>
      </c>
      <c r="B21" s="7">
        <f>INDEX(AccuracyTable!$A$2:$A$31, MATCH($A21, AccuracyTable!$B$2:$B$31, 0))</f>
        <v>4470</v>
      </c>
      <c r="C21" s="20">
        <v>1.7</v>
      </c>
      <c r="D21" s="21">
        <f t="shared" si="0"/>
        <v>7599</v>
      </c>
      <c r="E21" s="22">
        <f t="shared" si="1"/>
        <v>0.15886937024047834</v>
      </c>
      <c r="F21" s="21">
        <f t="shared" si="2"/>
        <v>31.297265937374235</v>
      </c>
      <c r="G21" s="22">
        <f>IF($B$7="","",INDEX(AccuracyTable!$C$2:$AF$31, MATCH($A21, AccuracyTable!$B$2:$B$31, 0), MATCH($B$7, AccuracyTable!$C$1:$AF$1, 0)))</f>
        <v>0.72499999999999998</v>
      </c>
      <c r="H21" s="22">
        <f>IF($B$8="","",INDEX(AccuracyTable!$C$2:$AF$31, MATCH($A21, AccuracyTable!$B$2:$B$31, 0), MATCH($B$8, AccuracyTable!$C$1:$AF$1, 0)))</f>
        <v>0.76349999999999996</v>
      </c>
      <c r="I21" s="22">
        <f>IF($B$9="","",INDEX(AccuracyTable!$C$2:$AF$31, MATCH($A21, AccuracyTable!$B$2:$B$31, 0), MATCH($B$9, AccuracyTable!$C$1:$AF$1, 0)))</f>
        <v>0.80330000000000001</v>
      </c>
      <c r="J21" s="22">
        <f>IF($B$10="","",INDEX(AccuracyTable!$C$2:$AF$31, MATCH($A21, AccuracyTable!$B$2:$B$31, 0), MATCH($B$10, AccuracyTable!$C$1:$AF$1, 0)))</f>
        <v>0.83950000000000002</v>
      </c>
      <c r="K21" s="21">
        <f t="shared" si="3"/>
        <v>22.690517804596318</v>
      </c>
      <c r="L21" s="21">
        <f t="shared" si="4"/>
        <v>23.895462543185225</v>
      </c>
      <c r="M21" s="21">
        <f t="shared" si="5"/>
        <v>25.141093727492724</v>
      </c>
      <c r="N21" s="21">
        <f t="shared" si="6"/>
        <v>26.27405475442567</v>
      </c>
      <c r="P21" s="26">
        <f t="shared" si="7"/>
        <v>3.9800000000000058E-2</v>
      </c>
    </row>
    <row r="22" spans="1:16" x14ac:dyDescent="0.25">
      <c r="A22" s="8" t="s">
        <v>67</v>
      </c>
      <c r="B22" s="7">
        <f>INDEX(AccuracyTable!$A$2:$A$31, MATCH($A22, AccuracyTable!$B$2:$B$31, 0))</f>
        <v>4276</v>
      </c>
      <c r="C22" s="20">
        <v>1.4</v>
      </c>
      <c r="D22" s="21">
        <f t="shared" si="0"/>
        <v>5986.4</v>
      </c>
      <c r="E22" s="22">
        <f t="shared" si="1"/>
        <v>0.12515536228551119</v>
      </c>
      <c r="F22" s="21">
        <f t="shared" si="2"/>
        <v>24.655606370245703</v>
      </c>
      <c r="G22" s="22">
        <f>IF($B$7="","",INDEX(AccuracyTable!$C$2:$AF$31, MATCH($A22, AccuracyTable!$B$2:$B$31, 0), MATCH($B$7, AccuracyTable!$C$1:$AF$1, 0)))</f>
        <v>0.65480000000000005</v>
      </c>
      <c r="H22" s="22">
        <f>IF($B$8="","",INDEX(AccuracyTable!$C$2:$AF$31, MATCH($A22, AccuracyTable!$B$2:$B$31, 0), MATCH($B$8, AccuracyTable!$C$1:$AF$1, 0)))</f>
        <v>0.69450000000000001</v>
      </c>
      <c r="I22" s="22">
        <f>IF($B$9="","",INDEX(AccuracyTable!$C$2:$AF$31, MATCH($A22, AccuracyTable!$B$2:$B$31, 0), MATCH($B$9, AccuracyTable!$C$1:$AF$1, 0)))</f>
        <v>0.73409999999999997</v>
      </c>
      <c r="J22" s="22">
        <f>IF($B$10="","",INDEX(AccuracyTable!$C$2:$AF$31, MATCH($A22, AccuracyTable!$B$2:$B$31, 0), MATCH($B$10, AccuracyTable!$C$1:$AF$1, 0)))</f>
        <v>0.7702</v>
      </c>
      <c r="K22" s="21">
        <f t="shared" si="3"/>
        <v>16.144491051236887</v>
      </c>
      <c r="L22" s="21">
        <f t="shared" si="4"/>
        <v>17.123318624135642</v>
      </c>
      <c r="M22" s="21">
        <f t="shared" si="5"/>
        <v>18.09968063639737</v>
      </c>
      <c r="N22" s="21">
        <f t="shared" si="6"/>
        <v>18.989748026363241</v>
      </c>
      <c r="P22" s="26">
        <f t="shared" si="7"/>
        <v>3.9599999999999969E-2</v>
      </c>
    </row>
    <row r="23" spans="1:16" x14ac:dyDescent="0.25">
      <c r="A23" s="8" t="s">
        <v>68</v>
      </c>
      <c r="B23" s="7">
        <f>INDEX(AccuracyTable!$A$2:$A$31, MATCH($A23, AccuracyTable!$B$2:$B$31, 0))</f>
        <v>4380</v>
      </c>
      <c r="C23" s="20">
        <v>1.3</v>
      </c>
      <c r="D23" s="21">
        <f t="shared" si="0"/>
        <v>5694</v>
      </c>
      <c r="E23" s="22">
        <f t="shared" si="1"/>
        <v>0.11904226794963596</v>
      </c>
      <c r="F23" s="21">
        <f t="shared" si="2"/>
        <v>23.451326786078283</v>
      </c>
      <c r="G23" s="22">
        <f>IF($B$7="","",INDEX(AccuracyTable!$C$2:$AF$31, MATCH($A23, AccuracyTable!$B$2:$B$31, 0), MATCH($B$7, AccuracyTable!$C$1:$AF$1, 0)))</f>
        <v>0.59819999999999995</v>
      </c>
      <c r="H23" s="22">
        <f>IF($B$8="","",INDEX(AccuracyTable!$C$2:$AF$31, MATCH($A23, AccuracyTable!$B$2:$B$31, 0), MATCH($B$8, AccuracyTable!$C$1:$AF$1, 0)))</f>
        <v>0.6391</v>
      </c>
      <c r="I23" s="22">
        <f>IF($B$9="","",INDEX(AccuracyTable!$C$2:$AF$31, MATCH($A23, AccuracyTable!$B$2:$B$31, 0), MATCH($B$9, AccuracyTable!$C$1:$AF$1, 0)))</f>
        <v>0.67870000000000008</v>
      </c>
      <c r="J23" s="22">
        <f>IF($B$10="","",INDEX(AccuracyTable!$C$2:$AF$31, MATCH($A23, AccuracyTable!$B$2:$B$31, 0), MATCH($B$10, AccuracyTable!$C$1:$AF$1, 0)))</f>
        <v>0.71379999999999999</v>
      </c>
      <c r="K23" s="21">
        <f t="shared" si="3"/>
        <v>14.028583683432029</v>
      </c>
      <c r="L23" s="21">
        <f t="shared" si="4"/>
        <v>14.98774294898263</v>
      </c>
      <c r="M23" s="21">
        <f t="shared" si="5"/>
        <v>15.916415489711333</v>
      </c>
      <c r="N23" s="21">
        <f t="shared" si="6"/>
        <v>16.73955705990268</v>
      </c>
      <c r="P23" s="26">
        <f t="shared" si="7"/>
        <v>3.960000000000008E-2</v>
      </c>
    </row>
    <row r="24" spans="1:16" x14ac:dyDescent="0.25">
      <c r="A24" s="8" t="s">
        <v>69</v>
      </c>
      <c r="B24" s="7">
        <f>INDEX(AccuracyTable!$A$2:$A$31, MATCH($A24, AccuracyTable!$B$2:$B$31, 0))</f>
        <v>4674</v>
      </c>
      <c r="C24" s="20">
        <v>1.4</v>
      </c>
      <c r="D24" s="21">
        <f t="shared" si="0"/>
        <v>6543.5999999999995</v>
      </c>
      <c r="E24" s="22">
        <f t="shared" si="1"/>
        <v>0.13680452837289039</v>
      </c>
      <c r="F24" s="21">
        <f t="shared" si="2"/>
        <v>26.950492089459409</v>
      </c>
      <c r="G24" s="22">
        <f>IF($B$7="","",INDEX(AccuracyTable!$C$2:$AF$31, MATCH($A24, AccuracyTable!$B$2:$B$31, 0), MATCH($B$7, AccuracyTable!$C$1:$AF$1, 0)))</f>
        <v>0.55779999999999996</v>
      </c>
      <c r="H24" s="22">
        <f>IF($B$8="","",INDEX(AccuracyTable!$C$2:$AF$31, MATCH($A24, AccuracyTable!$B$2:$B$31, 0), MATCH($B$8, AccuracyTable!$C$1:$AF$1, 0)))</f>
        <v>0.60340000000000005</v>
      </c>
      <c r="I24" s="22">
        <f>IF($B$9="","",INDEX(AccuracyTable!$C$2:$AF$31, MATCH($A24, AccuracyTable!$B$2:$B$31, 0), MATCH($B$9, AccuracyTable!$C$1:$AF$1, 0)))</f>
        <v>0.64579999999999993</v>
      </c>
      <c r="J24" s="22">
        <f>IF($B$10="","",INDEX(AccuracyTable!$C$2:$AF$31, MATCH($A24, AccuracyTable!$B$2:$B$31, 0), MATCH($B$10, AccuracyTable!$C$1:$AF$1, 0)))</f>
        <v>0.68140000000000001</v>
      </c>
      <c r="K24" s="21">
        <f t="shared" si="3"/>
        <v>15.032984487500457</v>
      </c>
      <c r="L24" s="21">
        <f t="shared" si="4"/>
        <v>16.261926926779807</v>
      </c>
      <c r="M24" s="21">
        <f t="shared" si="5"/>
        <v>17.404627791372885</v>
      </c>
      <c r="N24" s="21">
        <f t="shared" si="6"/>
        <v>18.364065309757642</v>
      </c>
      <c r="P24" s="26">
        <f t="shared" si="7"/>
        <v>4.2399999999999882E-2</v>
      </c>
    </row>
    <row r="25" spans="1:16" x14ac:dyDescent="0.25">
      <c r="A25" s="8" t="s">
        <v>70</v>
      </c>
      <c r="B25" s="7">
        <f>INDEX(AccuracyTable!$A$2:$A$31, MATCH($A25, AccuracyTable!$B$2:$B$31, 0))</f>
        <v>5269</v>
      </c>
      <c r="C25" s="20">
        <v>1.2</v>
      </c>
      <c r="D25" s="21">
        <f t="shared" si="0"/>
        <v>6322.8</v>
      </c>
      <c r="E25" s="22">
        <f t="shared" si="1"/>
        <v>0.13218834769792032</v>
      </c>
      <c r="F25" s="21">
        <f t="shared" si="2"/>
        <v>26.041104496490302</v>
      </c>
      <c r="G25" s="22">
        <f>IF($B$7="","",INDEX(AccuracyTable!$C$2:$AF$31, MATCH($A25, AccuracyTable!$B$2:$B$31, 0), MATCH($B$7, AccuracyTable!$C$1:$AF$1, 0)))</f>
        <v>0.44540000000000002</v>
      </c>
      <c r="H25" s="22">
        <f>IF($B$8="","",INDEX(AccuracyTable!$C$2:$AF$31, MATCH($A25, AccuracyTable!$B$2:$B$31, 0), MATCH($B$8, AccuracyTable!$C$1:$AF$1, 0)))</f>
        <v>0.48699999999999999</v>
      </c>
      <c r="I25" s="22">
        <f>IF($B$9="","",INDEX(AccuracyTable!$C$2:$AF$31, MATCH($A25, AccuracyTable!$B$2:$B$31, 0), MATCH($B$9, AccuracyTable!$C$1:$AF$1, 0)))</f>
        <v>0.52579999999999993</v>
      </c>
      <c r="J25" s="22">
        <f>IF($B$10="","",INDEX(AccuracyTable!$C$2:$AF$31, MATCH($A25, AccuracyTable!$B$2:$B$31, 0), MATCH($B$10, AccuracyTable!$C$1:$AF$1, 0)))</f>
        <v>0.55869999999999997</v>
      </c>
      <c r="K25" s="21">
        <f t="shared" si="3"/>
        <v>11.59870794273678</v>
      </c>
      <c r="L25" s="21">
        <f t="shared" si="4"/>
        <v>12.682017889790776</v>
      </c>
      <c r="M25" s="21">
        <f t="shared" si="5"/>
        <v>13.692412744254598</v>
      </c>
      <c r="N25" s="21">
        <f t="shared" si="6"/>
        <v>14.549165082189131</v>
      </c>
      <c r="P25" s="26">
        <f t="shared" si="7"/>
        <v>3.8799999999999946E-2</v>
      </c>
    </row>
    <row r="26" spans="1:16" x14ac:dyDescent="0.25">
      <c r="A26" s="8" t="s">
        <v>80</v>
      </c>
      <c r="B26" s="7">
        <f>INDEX(AccuracyTable!$A$2:$A$31, MATCH($A26, AccuracyTable!$B$2:$B$31, 0))</f>
        <v>2005</v>
      </c>
      <c r="C26" s="20">
        <v>0.55000000000000004</v>
      </c>
      <c r="D26" s="21">
        <f t="shared" si="0"/>
        <v>1102.75</v>
      </c>
      <c r="E26" s="22">
        <f t="shared" si="1"/>
        <v>2.3054770105630673E-2</v>
      </c>
      <c r="F26" s="21">
        <f t="shared" si="2"/>
        <v>4.5417897108092422</v>
      </c>
      <c r="G26" s="22">
        <f>IF($B$7="","",INDEX(AccuracyTable!$C$2:$AF$31, MATCH($A26, AccuracyTable!$B$2:$B$31, 0), MATCH($B$7, AccuracyTable!$C$1:$AF$1, 0)))</f>
        <v>0.95</v>
      </c>
      <c r="H26" s="22">
        <f>IF($B$8="","",INDEX(AccuracyTable!$C$2:$AF$31, MATCH($A26, AccuracyTable!$B$2:$B$31, 0), MATCH($B$8, AccuracyTable!$C$1:$AF$1, 0)))</f>
        <v>0.95</v>
      </c>
      <c r="I26" s="22">
        <f>IF($B$9="","",INDEX(AccuracyTable!$C$2:$AF$31, MATCH($A26, AccuracyTable!$B$2:$B$31, 0), MATCH($B$9, AccuracyTable!$C$1:$AF$1, 0)))</f>
        <v>0.95</v>
      </c>
      <c r="J26" s="22">
        <f>IF($B$10="","",INDEX(AccuracyTable!$C$2:$AF$31, MATCH($A26, AccuracyTable!$B$2:$B$31, 0), MATCH($B$10, AccuracyTable!$C$1:$AF$1, 0)))</f>
        <v>0.95</v>
      </c>
      <c r="K26" s="21">
        <f t="shared" si="3"/>
        <v>4.3147002252687798</v>
      </c>
      <c r="L26" s="21">
        <f t="shared" si="4"/>
        <v>4.3147002252687798</v>
      </c>
      <c r="M26" s="21">
        <f t="shared" si="5"/>
        <v>4.3147002252687798</v>
      </c>
      <c r="N26" s="21">
        <f t="shared" si="6"/>
        <v>4.3147002252687798</v>
      </c>
      <c r="P26" s="26">
        <f t="shared" si="7"/>
        <v>0</v>
      </c>
    </row>
    <row r="27" spans="1:16" x14ac:dyDescent="0.25">
      <c r="A27" s="8" t="s">
        <v>81</v>
      </c>
      <c r="B27" s="7">
        <f>INDEX(AccuracyTable!$A$2:$A$31, MATCH($A27, AccuracyTable!$B$2:$B$31, 0))</f>
        <v>2013</v>
      </c>
      <c r="C27" s="20">
        <v>0.4</v>
      </c>
      <c r="D27" s="21">
        <f t="shared" si="0"/>
        <v>805.2</v>
      </c>
      <c r="E27" s="22">
        <f t="shared" si="1"/>
        <v>1.6834006700570229E-2</v>
      </c>
      <c r="F27" s="21">
        <f t="shared" si="2"/>
        <v>3.3162993200123352</v>
      </c>
      <c r="G27" s="22">
        <f>IF($B$7="","",INDEX(AccuracyTable!$C$2:$AF$31, MATCH($A27, AccuracyTable!$B$2:$B$31, 0), MATCH($B$7, AccuracyTable!$C$1:$AF$1, 0)))</f>
        <v>0.95</v>
      </c>
      <c r="H27" s="22">
        <f>IF($B$8="","",INDEX(AccuracyTable!$C$2:$AF$31, MATCH($A27, AccuracyTable!$B$2:$B$31, 0), MATCH($B$8, AccuracyTable!$C$1:$AF$1, 0)))</f>
        <v>0.95</v>
      </c>
      <c r="I27" s="22">
        <f>IF($B$9="","",INDEX(AccuracyTable!$C$2:$AF$31, MATCH($A27, AccuracyTable!$B$2:$B$31, 0), MATCH($B$9, AccuracyTable!$C$1:$AF$1, 0)))</f>
        <v>0.95</v>
      </c>
      <c r="J27" s="22">
        <f>IF($B$10="","",INDEX(AccuracyTable!$C$2:$AF$31, MATCH($A27, AccuracyTable!$B$2:$B$31, 0), MATCH($B$10, AccuracyTable!$C$1:$AF$1, 0)))</f>
        <v>0.95</v>
      </c>
      <c r="K27" s="21">
        <f t="shared" si="3"/>
        <v>3.1504843540117182</v>
      </c>
      <c r="L27" s="21">
        <f t="shared" si="4"/>
        <v>3.1504843540117182</v>
      </c>
      <c r="M27" s="21">
        <f t="shared" si="5"/>
        <v>3.1504843540117182</v>
      </c>
      <c r="N27" s="21">
        <f t="shared" si="6"/>
        <v>3.1504843540117182</v>
      </c>
      <c r="P27" s="26">
        <f t="shared" si="7"/>
        <v>0</v>
      </c>
    </row>
    <row r="28" spans="1:16" x14ac:dyDescent="0.25">
      <c r="A28" s="8" t="s">
        <v>82</v>
      </c>
      <c r="B28" s="7">
        <f>INDEX(AccuracyTable!$A$2:$A$31, MATCH($A28, AccuracyTable!$B$2:$B$31, 0))</f>
        <v>2072</v>
      </c>
      <c r="C28" s="20">
        <v>0</v>
      </c>
      <c r="D28" s="21">
        <f t="shared" si="0"/>
        <v>0</v>
      </c>
      <c r="E28" s="22">
        <f t="shared" si="1"/>
        <v>0</v>
      </c>
      <c r="F28" s="21">
        <f t="shared" si="2"/>
        <v>0</v>
      </c>
      <c r="G28" s="22">
        <f>IF($B$7="","",INDEX(AccuracyTable!$C$2:$AF$31, MATCH($A28, AccuracyTable!$B$2:$B$31, 0), MATCH($B$7, AccuracyTable!$C$1:$AF$1, 0)))</f>
        <v>0.95</v>
      </c>
      <c r="H28" s="22">
        <f>IF($B$8="","",INDEX(AccuracyTable!$C$2:$AF$31, MATCH($A28, AccuracyTable!$B$2:$B$31, 0), MATCH($B$8, AccuracyTable!$C$1:$AF$1, 0)))</f>
        <v>0.95</v>
      </c>
      <c r="I28" s="22">
        <f>IF($B$9="","",INDEX(AccuracyTable!$C$2:$AF$31, MATCH($A28, AccuracyTable!$B$2:$B$31, 0), MATCH($B$9, AccuracyTable!$C$1:$AF$1, 0)))</f>
        <v>0.95</v>
      </c>
      <c r="J28" s="22">
        <f>IF($B$10="","",INDEX(AccuracyTable!$C$2:$AF$31, MATCH($A28, AccuracyTable!$B$2:$B$31, 0), MATCH($B$10, AccuracyTable!$C$1:$AF$1, 0)))</f>
        <v>0.95</v>
      </c>
      <c r="K28" s="21">
        <f t="shared" si="3"/>
        <v>0</v>
      </c>
      <c r="L28" s="21">
        <f t="shared" si="4"/>
        <v>0</v>
      </c>
      <c r="M28" s="21">
        <f t="shared" si="5"/>
        <v>0</v>
      </c>
      <c r="N28" s="21">
        <f t="shared" si="6"/>
        <v>0</v>
      </c>
      <c r="P28" s="26">
        <f t="shared" si="7"/>
        <v>0</v>
      </c>
    </row>
    <row r="29" spans="1:16" x14ac:dyDescent="0.25">
      <c r="A29" s="23" t="s">
        <v>122</v>
      </c>
      <c r="D29" s="24">
        <f>SUM($D$18:$D$28)</f>
        <v>47831.75</v>
      </c>
      <c r="E29" s="25">
        <f>SUM($E$18:$E$28)</f>
        <v>0.99999999999999989</v>
      </c>
      <c r="F29" s="24">
        <f>SUM($F$18:$F$28)</f>
        <v>197</v>
      </c>
      <c r="K29" s="24">
        <f>SUM($K$18:$K$28)</f>
        <v>136.00659436441276</v>
      </c>
      <c r="L29" s="24">
        <f>SUM($L$18:$L$28)</f>
        <v>143.02499562487259</v>
      </c>
      <c r="M29" s="24">
        <f>SUM($M$18:$M$28)</f>
        <v>149.62154997925018</v>
      </c>
      <c r="N29" s="24">
        <f>SUM($N$18:$N$28)</f>
        <v>155.16942619724347</v>
      </c>
    </row>
    <row r="31" spans="1:16" ht="30" x14ac:dyDescent="0.25">
      <c r="A31" s="17" t="s">
        <v>123</v>
      </c>
      <c r="K31" s="21">
        <f>IF($B$7="","",SUMPRODUCT($F$18:$F$28,$G$18:$G$28,(1-$G$18:$G$28)))</f>
        <v>37.394275429153417</v>
      </c>
      <c r="L31" s="21">
        <f>IF($B$8="","",SUMPRODUCT($F$18:$F$28,$H$18:$H$28,(1-$H$18:$H$28)))</f>
        <v>34.991504093808771</v>
      </c>
      <c r="M31" s="21">
        <f>IF($B$9="","",SUMPRODUCT($F$18:$F$28,$I$18:$I$28,(1-$I$18:$I$28)))</f>
        <v>32.28427157008786</v>
      </c>
      <c r="N31" s="21">
        <f>IF($B$10="","",SUMPRODUCT($F$18:$F$28,$J$18:$J$28,(1-$J$18:$J$28)))</f>
        <v>29.680180162022449</v>
      </c>
    </row>
    <row r="32" spans="1:16" ht="30" x14ac:dyDescent="0.25">
      <c r="A32" s="17" t="s">
        <v>124</v>
      </c>
      <c r="K32" s="21">
        <f>IF($B$7="","",SQRT(K31))</f>
        <v>6.1150858889432955</v>
      </c>
      <c r="L32" s="21">
        <f>IF($B$8="","",SQRT(L31))</f>
        <v>5.9153617043938045</v>
      </c>
      <c r="M32" s="21">
        <f>IF($B$9="","",SQRT(M31))</f>
        <v>5.6819249880729563</v>
      </c>
      <c r="N32" s="21">
        <f>IF($B$10="","",SQRT(N31))</f>
        <v>5.4479519236151903</v>
      </c>
    </row>
  </sheetData>
  <mergeCells count="4">
    <mergeCell ref="A3:C3"/>
    <mergeCell ref="D3:N3"/>
    <mergeCell ref="A6:C6"/>
    <mergeCell ref="A1:N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32"/>
  <sheetViews>
    <sheetView showGridLines="0" zoomScale="145" zoomScaleNormal="145" workbookViewId="0">
      <selection activeCell="C29" sqref="C29"/>
    </sheetView>
  </sheetViews>
  <sheetFormatPr defaultRowHeight="15" x14ac:dyDescent="0.25"/>
  <cols>
    <col min="1" max="1" width="10" customWidth="1"/>
    <col min="2" max="2" width="8" customWidth="1"/>
    <col min="3" max="5" width="12" customWidth="1"/>
    <col min="6" max="6" width="13" customWidth="1"/>
    <col min="7" max="10" width="12" customWidth="1"/>
    <col min="11" max="14" width="14" customWidth="1"/>
  </cols>
  <sheetData>
    <row r="1" spans="1:14" x14ac:dyDescent="0.25">
      <c r="A1" s="32" t="s">
        <v>135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</row>
    <row r="3" spans="1:14" x14ac:dyDescent="0.25">
      <c r="A3" s="27" t="s">
        <v>86</v>
      </c>
      <c r="B3" s="28"/>
      <c r="C3" s="28"/>
      <c r="D3" s="27" t="s">
        <v>87</v>
      </c>
      <c r="E3" s="28"/>
      <c r="F3" s="28"/>
      <c r="G3" s="28"/>
      <c r="H3" s="28"/>
      <c r="I3" s="28"/>
      <c r="J3" s="28"/>
      <c r="K3" s="28"/>
      <c r="L3" s="28"/>
      <c r="M3" s="28"/>
      <c r="N3" s="28"/>
    </row>
    <row r="4" spans="1:14" ht="75" x14ac:dyDescent="0.25">
      <c r="A4" t="s">
        <v>88</v>
      </c>
      <c r="B4" s="10">
        <v>12</v>
      </c>
      <c r="D4" s="1" t="s">
        <v>89</v>
      </c>
      <c r="E4" s="11">
        <f>M29</f>
        <v>179.23128854393124</v>
      </c>
    </row>
    <row r="5" spans="1:14" ht="60" x14ac:dyDescent="0.25">
      <c r="A5" t="s">
        <v>90</v>
      </c>
      <c r="B5" s="12">
        <v>222</v>
      </c>
      <c r="D5" s="1" t="s">
        <v>91</v>
      </c>
      <c r="E5" s="13">
        <f>ROUNDUP($E$4,0)</f>
        <v>180</v>
      </c>
    </row>
    <row r="6" spans="1:14" x14ac:dyDescent="0.25">
      <c r="A6" s="31" t="s">
        <v>92</v>
      </c>
      <c r="B6" s="28"/>
      <c r="C6" s="28"/>
    </row>
    <row r="7" spans="1:14" ht="30" x14ac:dyDescent="0.25">
      <c r="A7" t="s">
        <v>93</v>
      </c>
      <c r="B7" s="14">
        <f>IF(OR($B$4-1&lt;0.5,$B$4-1&gt;15),"",$B$4-1)</f>
        <v>11</v>
      </c>
      <c r="D7" s="1" t="s">
        <v>94</v>
      </c>
      <c r="E7" s="15">
        <f>IF($B$7="",-1,IF(K32=0,IF(K29&gt;=$E$5,1,0),1-_xlfn.NORM.DIST($E$5-0.5,K29,K32,TRUE)))</f>
        <v>1.9050986989830654E-2</v>
      </c>
    </row>
    <row r="8" spans="1:14" ht="45" x14ac:dyDescent="0.25">
      <c r="A8" t="s">
        <v>95</v>
      </c>
      <c r="B8" s="14">
        <f>IF(OR($B$4-0.5&lt;0.5,$B$4-0.5&gt;15),"",$B$4-0.5)</f>
        <v>11.5</v>
      </c>
      <c r="D8" s="1" t="s">
        <v>96</v>
      </c>
      <c r="E8" s="15">
        <f>IF($B$8="",-1,IF(L32=0,IF(L29&gt;=$E$5,1,0),1-_xlfn.NORM.DIST($E$5-0.5,L29,L32,TRUE)))</f>
        <v>0.14072905062060181</v>
      </c>
    </row>
    <row r="9" spans="1:14" ht="30" x14ac:dyDescent="0.25">
      <c r="A9" t="s">
        <v>97</v>
      </c>
      <c r="B9" s="14">
        <f>$B$4</f>
        <v>12</v>
      </c>
      <c r="D9" s="1" t="s">
        <v>98</v>
      </c>
      <c r="E9" s="15">
        <f>IF($B$9="",-1,IF(M32=0,IF(M29&gt;=$E$5,1,0),1-_xlfn.NORM.DIST($E$5-0.5,M29,M32,TRUE)))</f>
        <v>0.48088305665276387</v>
      </c>
    </row>
    <row r="10" spans="1:14" ht="45" x14ac:dyDescent="0.25">
      <c r="A10" t="s">
        <v>99</v>
      </c>
      <c r="B10" s="14">
        <f>IF(OR($B$4+0.5&lt;0.5,$B$4+0.5&gt;15),"",$B$4+0.5)</f>
        <v>12.5</v>
      </c>
      <c r="D10" s="1" t="s">
        <v>100</v>
      </c>
      <c r="E10" s="15">
        <f>IF($B$10="",-1,IF(N32=0,IF(N29&gt;=$E$5,1,0),1-_xlfn.NORM.DIST($E$5-0.5,N29,N32,TRUE)))</f>
        <v>0.8307073218956843</v>
      </c>
    </row>
    <row r="11" spans="1:14" x14ac:dyDescent="0.25">
      <c r="E11" s="16" t="s">
        <v>101</v>
      </c>
      <c r="F11" s="16" t="s">
        <v>102</v>
      </c>
      <c r="G11" s="16" t="s">
        <v>103</v>
      </c>
      <c r="H11" s="16" t="s">
        <v>104</v>
      </c>
    </row>
    <row r="12" spans="1:14" ht="30" x14ac:dyDescent="0.25">
      <c r="D12" s="17" t="s">
        <v>105</v>
      </c>
      <c r="E12" s="18">
        <f>IF($B$7="","",K29)</f>
        <v>166.81836477999411</v>
      </c>
      <c r="F12" s="18">
        <f>IF($B$8="","",L29)</f>
        <v>173.17430500146202</v>
      </c>
      <c r="G12" s="18">
        <f>IF($B$9="","",M29)</f>
        <v>179.23128854393124</v>
      </c>
      <c r="H12" s="18">
        <f>IF($B$10="","",N29)</f>
        <v>184.60480601853618</v>
      </c>
    </row>
    <row r="13" spans="1:14" x14ac:dyDescent="0.25">
      <c r="D13" s="17" t="s">
        <v>106</v>
      </c>
      <c r="E13" s="19">
        <f>IF($B$7="","",K29/$B$5)</f>
        <v>0.75143407558555908</v>
      </c>
      <c r="F13" s="19">
        <f>IF($B$8="","",L29/$B$5)</f>
        <v>0.78006443694352257</v>
      </c>
      <c r="G13" s="19">
        <f>IF($B$9="","",M29/$B$5)</f>
        <v>0.80734814659428489</v>
      </c>
      <c r="H13" s="19">
        <f>IF($B$10="","",N29/$B$5)</f>
        <v>0.83155318026367653</v>
      </c>
    </row>
    <row r="14" spans="1:14" ht="30" x14ac:dyDescent="0.25">
      <c r="D14" s="17" t="s">
        <v>107</v>
      </c>
      <c r="E14" s="18">
        <f>IF($B$7="","",K32)</f>
        <v>6.1152975527572693</v>
      </c>
      <c r="F14" s="18">
        <f>IF($B$8="","",L32)</f>
        <v>5.873169551836332</v>
      </c>
      <c r="G14" s="18">
        <f>IF($B$9="","",M32)</f>
        <v>5.6054629434087939</v>
      </c>
      <c r="H14" s="18">
        <f>IF($B$10="","",N32)</f>
        <v>5.3343754646619805</v>
      </c>
    </row>
    <row r="17" spans="1:16" ht="30" x14ac:dyDescent="0.25">
      <c r="A17" s="3" t="s">
        <v>108</v>
      </c>
      <c r="B17" s="3" t="s">
        <v>109</v>
      </c>
      <c r="C17" s="3" t="s">
        <v>110</v>
      </c>
      <c r="D17" s="3" t="s">
        <v>111</v>
      </c>
      <c r="E17" s="3" t="s">
        <v>112</v>
      </c>
      <c r="F17" s="3" t="s">
        <v>113</v>
      </c>
      <c r="G17" s="3" t="s">
        <v>114</v>
      </c>
      <c r="H17" s="3" t="s">
        <v>115</v>
      </c>
      <c r="I17" s="3" t="s">
        <v>116</v>
      </c>
      <c r="J17" s="3" t="s">
        <v>117</v>
      </c>
      <c r="K17" s="3" t="s">
        <v>118</v>
      </c>
      <c r="L17" s="3" t="s">
        <v>119</v>
      </c>
      <c r="M17" s="3" t="s">
        <v>120</v>
      </c>
      <c r="N17" s="3" t="s">
        <v>121</v>
      </c>
    </row>
    <row r="18" spans="1:16" x14ac:dyDescent="0.25">
      <c r="A18" s="8" t="s">
        <v>63</v>
      </c>
      <c r="B18" s="7">
        <f>INDEX(AccuracyTable!$A$2:$A$31, MATCH($A18, AccuracyTable!$B$2:$B$31, 0))</f>
        <v>3785</v>
      </c>
      <c r="C18" s="20">
        <v>0.6</v>
      </c>
      <c r="D18" s="21">
        <f t="shared" ref="D18:D28" si="0">B18*C18</f>
        <v>2271</v>
      </c>
      <c r="E18" s="22">
        <f t="shared" ref="E18:E28" si="1">D18/SUM($D$18:$D$28)</f>
        <v>4.8120319869814507E-2</v>
      </c>
      <c r="F18" s="21">
        <f t="shared" ref="F18:F28" si="2">$B$5*E18</f>
        <v>10.682711011098821</v>
      </c>
      <c r="G18" s="22">
        <f>IF($B$7="","",INDEX(AccuracyTable!$C$2:$AF$31, MATCH($A18, AccuracyTable!$B$2:$B$31, 0), MATCH($B$7, AccuracyTable!$C$1:$AF$1, 0)))</f>
        <v>0.94989999999999997</v>
      </c>
      <c r="H18" s="22">
        <f>IF($B$8="","",INDEX(AccuracyTable!$C$2:$AF$31, MATCH($A18, AccuracyTable!$B$2:$B$31, 0), MATCH($B$8, AccuracyTable!$C$1:$AF$1, 0)))</f>
        <v>0.95</v>
      </c>
      <c r="I18" s="22">
        <f>IF($B$9="","",INDEX(AccuracyTable!$C$2:$AF$31, MATCH($A18, AccuracyTable!$B$2:$B$31, 0), MATCH($B$9, AccuracyTable!$C$1:$AF$1, 0)))</f>
        <v>0.95</v>
      </c>
      <c r="J18" s="22">
        <f>IF($B$10="","",INDEX(AccuracyTable!$C$2:$AF$31, MATCH($A18, AccuracyTable!$B$2:$B$31, 0), MATCH($B$10, AccuracyTable!$C$1:$AF$1, 0)))</f>
        <v>0.95</v>
      </c>
      <c r="K18" s="21">
        <f t="shared" ref="K18:K28" si="3">IF($B$7="","",F18*G18)</f>
        <v>10.14750718944277</v>
      </c>
      <c r="L18" s="21">
        <f t="shared" ref="L18:L28" si="4">IF($B$8="","",F18*H18)</f>
        <v>10.14857546054388</v>
      </c>
      <c r="M18" s="21">
        <f t="shared" ref="M18:M28" si="5">IF($B$9="","",F18*I18)</f>
        <v>10.14857546054388</v>
      </c>
      <c r="N18" s="21">
        <f t="shared" ref="N18:N28" si="6">IF($B$10="","",F18*J18)</f>
        <v>10.14857546054388</v>
      </c>
      <c r="P18" s="26">
        <f>I18-H18</f>
        <v>0</v>
      </c>
    </row>
    <row r="19" spans="1:16" x14ac:dyDescent="0.25">
      <c r="A19" s="8" t="s">
        <v>64</v>
      </c>
      <c r="B19" s="7">
        <f>INDEX(AccuracyTable!$A$2:$A$31, MATCH($A19, AccuracyTable!$B$2:$B$31, 0))</f>
        <v>4374</v>
      </c>
      <c r="C19" s="20">
        <v>1</v>
      </c>
      <c r="D19" s="21">
        <f t="shared" si="0"/>
        <v>4374</v>
      </c>
      <c r="E19" s="22">
        <f t="shared" si="1"/>
        <v>9.2680880277661234E-2</v>
      </c>
      <c r="F19" s="21">
        <f t="shared" si="2"/>
        <v>20.575155421640794</v>
      </c>
      <c r="G19" s="22">
        <f>IF($B$7="","",INDEX(AccuracyTable!$C$2:$AF$31, MATCH($A19, AccuracyTable!$B$2:$B$31, 0), MATCH($B$7, AccuracyTable!$C$1:$AF$1, 0)))</f>
        <v>0.93920000000000003</v>
      </c>
      <c r="H19" s="22">
        <f>IF($B$8="","",INDEX(AccuracyTable!$C$2:$AF$31, MATCH($A19, AccuracyTable!$B$2:$B$31, 0), MATCH($B$8, AccuracyTable!$C$1:$AF$1, 0)))</f>
        <v>0.9466</v>
      </c>
      <c r="I19" s="22">
        <f>IF($B$9="","",INDEX(AccuracyTable!$C$2:$AF$31, MATCH($A19, AccuracyTable!$B$2:$B$31, 0), MATCH($B$9, AccuracyTable!$C$1:$AF$1, 0)))</f>
        <v>0.94930000000000003</v>
      </c>
      <c r="J19" s="22">
        <f>IF($B$10="","",INDEX(AccuracyTable!$C$2:$AF$31, MATCH($A19, AccuracyTable!$B$2:$B$31, 0), MATCH($B$10, AccuracyTable!$C$1:$AF$1, 0)))</f>
        <v>0.94989999999999997</v>
      </c>
      <c r="K19" s="21">
        <f t="shared" si="3"/>
        <v>19.324185972005033</v>
      </c>
      <c r="L19" s="21">
        <f t="shared" si="4"/>
        <v>19.476442122125174</v>
      </c>
      <c r="M19" s="21">
        <f t="shared" si="5"/>
        <v>19.531995041763608</v>
      </c>
      <c r="N19" s="21">
        <f t="shared" si="6"/>
        <v>19.54434013501659</v>
      </c>
      <c r="P19" s="26">
        <f t="shared" ref="P19:P28" si="7">I19-H19</f>
        <v>2.7000000000000357E-3</v>
      </c>
    </row>
    <row r="20" spans="1:16" x14ac:dyDescent="0.25">
      <c r="A20" s="8" t="s">
        <v>65</v>
      </c>
      <c r="B20" s="7">
        <f>INDEX(AccuracyTable!$A$2:$A$31, MATCH($A20, AccuracyTable!$B$2:$B$31, 0))</f>
        <v>4503</v>
      </c>
      <c r="C20" s="20">
        <v>1.3</v>
      </c>
      <c r="D20" s="21">
        <f t="shared" si="0"/>
        <v>5853.9000000000005</v>
      </c>
      <c r="E20" s="22">
        <f t="shared" si="1"/>
        <v>0.12403854710960245</v>
      </c>
      <c r="F20" s="21">
        <f t="shared" si="2"/>
        <v>27.536557458331743</v>
      </c>
      <c r="G20" s="22">
        <f>IF($B$7="","",INDEX(AccuracyTable!$C$2:$AF$31, MATCH($A20, AccuracyTable!$B$2:$B$31, 0), MATCH($B$7, AccuracyTable!$C$1:$AF$1, 0)))</f>
        <v>0.88489999999999991</v>
      </c>
      <c r="H20" s="22">
        <f>IF($B$8="","",INDEX(AccuracyTable!$C$2:$AF$31, MATCH($A20, AccuracyTable!$B$2:$B$31, 0), MATCH($B$8, AccuracyTable!$C$1:$AF$1, 0)))</f>
        <v>0.91189999999999993</v>
      </c>
      <c r="I20" s="22">
        <f>IF($B$9="","",INDEX(AccuracyTable!$C$2:$AF$31, MATCH($A20, AccuracyTable!$B$2:$B$31, 0), MATCH($B$9, AccuracyTable!$C$1:$AF$1, 0)))</f>
        <v>0.93180000000000007</v>
      </c>
      <c r="J20" s="22">
        <f>IF($B$10="","",INDEX(AccuracyTable!$C$2:$AF$31, MATCH($A20, AccuracyTable!$B$2:$B$31, 0), MATCH($B$10, AccuracyTable!$C$1:$AF$1, 0)))</f>
        <v>0.94299999999999995</v>
      </c>
      <c r="K20" s="21">
        <f t="shared" si="3"/>
        <v>24.367099694877755</v>
      </c>
      <c r="L20" s="21">
        <f t="shared" si="4"/>
        <v>25.110586746252714</v>
      </c>
      <c r="M20" s="21">
        <f t="shared" si="5"/>
        <v>25.65856423967352</v>
      </c>
      <c r="N20" s="21">
        <f t="shared" si="6"/>
        <v>25.966973683206831</v>
      </c>
      <c r="P20" s="26">
        <f t="shared" si="7"/>
        <v>1.990000000000014E-2</v>
      </c>
    </row>
    <row r="21" spans="1:16" x14ac:dyDescent="0.25">
      <c r="A21" s="8" t="s">
        <v>66</v>
      </c>
      <c r="B21" s="7">
        <f>INDEX(AccuracyTable!$A$2:$A$31, MATCH($A21, AccuracyTable!$B$2:$B$31, 0))</f>
        <v>4470</v>
      </c>
      <c r="C21" s="20">
        <v>1.4</v>
      </c>
      <c r="D21" s="21">
        <f t="shared" si="0"/>
        <v>6258</v>
      </c>
      <c r="E21" s="22">
        <f t="shared" si="1"/>
        <v>0.13260103995829994</v>
      </c>
      <c r="F21" s="21">
        <f t="shared" si="2"/>
        <v>29.437430870742588</v>
      </c>
      <c r="G21" s="22">
        <f>IF($B$7="","",INDEX(AccuracyTable!$C$2:$AF$31, MATCH($A21, AccuracyTable!$B$2:$B$31, 0), MATCH($B$7, AccuracyTable!$C$1:$AF$1, 0)))</f>
        <v>0.80330000000000001</v>
      </c>
      <c r="H21" s="22">
        <f>IF($B$8="","",INDEX(AccuracyTable!$C$2:$AF$31, MATCH($A21, AccuracyTable!$B$2:$B$31, 0), MATCH($B$8, AccuracyTable!$C$1:$AF$1, 0)))</f>
        <v>0.83950000000000002</v>
      </c>
      <c r="I21" s="22">
        <f>IF($B$9="","",INDEX(AccuracyTable!$C$2:$AF$31, MATCH($A21, AccuracyTable!$B$2:$B$31, 0), MATCH($B$9, AccuracyTable!$C$1:$AF$1, 0)))</f>
        <v>0.87470000000000003</v>
      </c>
      <c r="J21" s="22">
        <f>IF($B$10="","",INDEX(AccuracyTable!$C$2:$AF$31, MATCH($A21, AccuracyTable!$B$2:$B$31, 0), MATCH($B$10, AccuracyTable!$C$1:$AF$1, 0)))</f>
        <v>0.90390000000000004</v>
      </c>
      <c r="K21" s="21">
        <f t="shared" si="3"/>
        <v>23.647088218467523</v>
      </c>
      <c r="L21" s="21">
        <f t="shared" si="4"/>
        <v>24.712723215988404</v>
      </c>
      <c r="M21" s="21">
        <f t="shared" si="5"/>
        <v>25.748920782638542</v>
      </c>
      <c r="N21" s="21">
        <f t="shared" si="6"/>
        <v>26.608493764064228</v>
      </c>
      <c r="P21" s="26">
        <f t="shared" si="7"/>
        <v>3.5200000000000009E-2</v>
      </c>
    </row>
    <row r="22" spans="1:16" x14ac:dyDescent="0.25">
      <c r="A22" s="8" t="s">
        <v>67</v>
      </c>
      <c r="B22" s="7">
        <f>INDEX(AccuracyTable!$A$2:$A$31, MATCH($A22, AccuracyTable!$B$2:$B$31, 0))</f>
        <v>4276</v>
      </c>
      <c r="C22" s="20">
        <v>1.7</v>
      </c>
      <c r="D22" s="21">
        <f t="shared" si="0"/>
        <v>7269.2</v>
      </c>
      <c r="E22" s="22">
        <f t="shared" si="1"/>
        <v>0.15402740167223936</v>
      </c>
      <c r="F22" s="21">
        <f t="shared" si="2"/>
        <v>34.194083171237139</v>
      </c>
      <c r="G22" s="22">
        <f>IF($B$7="","",INDEX(AccuracyTable!$C$2:$AF$31, MATCH($A22, AccuracyTable!$B$2:$B$31, 0), MATCH($B$7, AccuracyTable!$C$1:$AF$1, 0)))</f>
        <v>0.73409999999999997</v>
      </c>
      <c r="H22" s="22">
        <f>IF($B$8="","",INDEX(AccuracyTable!$C$2:$AF$31, MATCH($A22, AccuracyTable!$B$2:$B$31, 0), MATCH($B$8, AccuracyTable!$C$1:$AF$1, 0)))</f>
        <v>0.7702</v>
      </c>
      <c r="I22" s="22">
        <f>IF($B$9="","",INDEX(AccuracyTable!$C$2:$AF$31, MATCH($A22, AccuracyTable!$B$2:$B$31, 0), MATCH($B$9, AccuracyTable!$C$1:$AF$1, 0)))</f>
        <v>0.80769999999999997</v>
      </c>
      <c r="J22" s="22">
        <f>IF($B$10="","",INDEX(AccuracyTable!$C$2:$AF$31, MATCH($A22, AccuracyTable!$B$2:$B$31, 0), MATCH($B$10, AccuracyTable!$C$1:$AF$1, 0)))</f>
        <v>0.84319999999999995</v>
      </c>
      <c r="K22" s="21">
        <f t="shared" si="3"/>
        <v>25.101876456005183</v>
      </c>
      <c r="L22" s="21">
        <f t="shared" si="4"/>
        <v>26.336282858486843</v>
      </c>
      <c r="M22" s="21">
        <f t="shared" si="5"/>
        <v>27.618560977408237</v>
      </c>
      <c r="N22" s="21">
        <f t="shared" si="6"/>
        <v>28.832450929987154</v>
      </c>
      <c r="P22" s="26">
        <f t="shared" si="7"/>
        <v>3.7499999999999978E-2</v>
      </c>
    </row>
    <row r="23" spans="1:16" x14ac:dyDescent="0.25">
      <c r="A23" s="8" t="s">
        <v>68</v>
      </c>
      <c r="B23" s="7">
        <f>INDEX(AccuracyTable!$A$2:$A$31, MATCH($A23, AccuracyTable!$B$2:$B$31, 0))</f>
        <v>4380</v>
      </c>
      <c r="C23" s="20">
        <v>1.5</v>
      </c>
      <c r="D23" s="21">
        <f t="shared" si="0"/>
        <v>6570</v>
      </c>
      <c r="E23" s="22">
        <f t="shared" si="1"/>
        <v>0.13921202181624012</v>
      </c>
      <c r="F23" s="21">
        <f t="shared" si="2"/>
        <v>30.905068843205306</v>
      </c>
      <c r="G23" s="22">
        <f>IF($B$7="","",INDEX(AccuracyTable!$C$2:$AF$31, MATCH($A23, AccuracyTable!$B$2:$B$31, 0), MATCH($B$7, AccuracyTable!$C$1:$AF$1, 0)))</f>
        <v>0.67870000000000008</v>
      </c>
      <c r="H23" s="22">
        <f>IF($B$8="","",INDEX(AccuracyTable!$C$2:$AF$31, MATCH($A23, AccuracyTable!$B$2:$B$31, 0), MATCH($B$8, AccuracyTable!$C$1:$AF$1, 0)))</f>
        <v>0.71379999999999999</v>
      </c>
      <c r="I23" s="22">
        <f>IF($B$9="","",INDEX(AccuracyTable!$C$2:$AF$31, MATCH($A23, AccuracyTable!$B$2:$B$31, 0), MATCH($B$9, AccuracyTable!$C$1:$AF$1, 0)))</f>
        <v>0.74970000000000003</v>
      </c>
      <c r="J23" s="22">
        <f>IF($B$10="","",INDEX(AccuracyTable!$C$2:$AF$31, MATCH($A23, AccuracyTable!$B$2:$B$31, 0), MATCH($B$10, AccuracyTable!$C$1:$AF$1, 0)))</f>
        <v>0.78439999999999999</v>
      </c>
      <c r="K23" s="21">
        <f t="shared" si="3"/>
        <v>20.975270223883445</v>
      </c>
      <c r="L23" s="21">
        <f t="shared" si="4"/>
        <v>22.060038140279946</v>
      </c>
      <c r="M23" s="21">
        <f t="shared" si="5"/>
        <v>23.169530111751019</v>
      </c>
      <c r="N23" s="21">
        <f t="shared" si="6"/>
        <v>24.241936000610242</v>
      </c>
      <c r="P23" s="26">
        <f t="shared" si="7"/>
        <v>3.5900000000000043E-2</v>
      </c>
    </row>
    <row r="24" spans="1:16" x14ac:dyDescent="0.25">
      <c r="A24" s="8" t="s">
        <v>69</v>
      </c>
      <c r="B24" s="7">
        <f>INDEX(AccuracyTable!$A$2:$A$31, MATCH($A24, AccuracyTable!$B$2:$B$31, 0))</f>
        <v>4674</v>
      </c>
      <c r="C24" s="20">
        <v>1.4</v>
      </c>
      <c r="D24" s="21">
        <f t="shared" si="0"/>
        <v>6543.5999999999995</v>
      </c>
      <c r="E24" s="22">
        <f t="shared" si="1"/>
        <v>0.13865263104364517</v>
      </c>
      <c r="F24" s="21">
        <f t="shared" si="2"/>
        <v>30.780884091689227</v>
      </c>
      <c r="G24" s="22">
        <f>IF($B$7="","",INDEX(AccuracyTable!$C$2:$AF$31, MATCH($A24, AccuracyTable!$B$2:$B$31, 0), MATCH($B$7, AccuracyTable!$C$1:$AF$1, 0)))</f>
        <v>0.64579999999999993</v>
      </c>
      <c r="H24" s="22">
        <f>IF($B$8="","",INDEX(AccuracyTable!$C$2:$AF$31, MATCH($A24, AccuracyTable!$B$2:$B$31, 0), MATCH($B$8, AccuracyTable!$C$1:$AF$1, 0)))</f>
        <v>0.68140000000000001</v>
      </c>
      <c r="I24" s="22">
        <f>IF($B$9="","",INDEX(AccuracyTable!$C$2:$AF$31, MATCH($A24, AccuracyTable!$B$2:$B$31, 0), MATCH($B$9, AccuracyTable!$C$1:$AF$1, 0)))</f>
        <v>0.71579999999999999</v>
      </c>
      <c r="J24" s="22">
        <f>IF($B$10="","",INDEX(AccuracyTable!$C$2:$AF$31, MATCH($A24, AccuracyTable!$B$2:$B$31, 0), MATCH($B$10, AccuracyTable!$C$1:$AF$1, 0)))</f>
        <v>0.74769999999999992</v>
      </c>
      <c r="K24" s="21">
        <f t="shared" si="3"/>
        <v>19.8782949464129</v>
      </c>
      <c r="L24" s="21">
        <f t="shared" si="4"/>
        <v>20.974094420077041</v>
      </c>
      <c r="M24" s="21">
        <f t="shared" si="5"/>
        <v>22.03295683283115</v>
      </c>
      <c r="N24" s="21">
        <f t="shared" si="6"/>
        <v>23.014867035356033</v>
      </c>
      <c r="P24" s="26">
        <f t="shared" si="7"/>
        <v>3.4399999999999986E-2</v>
      </c>
    </row>
    <row r="25" spans="1:16" x14ac:dyDescent="0.25">
      <c r="A25" s="8" t="s">
        <v>70</v>
      </c>
      <c r="B25" s="7">
        <f>INDEX(AccuracyTable!$A$2:$A$31, MATCH($A25, AccuracyTable!$B$2:$B$31, 0))</f>
        <v>5269</v>
      </c>
      <c r="C25" s="20">
        <v>1.2</v>
      </c>
      <c r="D25" s="21">
        <f t="shared" si="0"/>
        <v>6322.8</v>
      </c>
      <c r="E25" s="22">
        <f t="shared" si="1"/>
        <v>0.13397409003648753</v>
      </c>
      <c r="F25" s="21">
        <f t="shared" si="2"/>
        <v>29.742247988100232</v>
      </c>
      <c r="G25" s="22">
        <f>IF($B$7="","",INDEX(AccuracyTable!$C$2:$AF$31, MATCH($A25, AccuracyTable!$B$2:$B$31, 0), MATCH($B$7, AccuracyTable!$C$1:$AF$1, 0)))</f>
        <v>0.52579999999999993</v>
      </c>
      <c r="H25" s="22">
        <f>IF($B$8="","",INDEX(AccuracyTable!$C$2:$AF$31, MATCH($A25, AccuracyTable!$B$2:$B$31, 0), MATCH($B$8, AccuracyTable!$C$1:$AF$1, 0)))</f>
        <v>0.55869999999999997</v>
      </c>
      <c r="I25" s="22">
        <f>IF($B$9="","",INDEX(AccuracyTable!$C$2:$AF$31, MATCH($A25, AccuracyTable!$B$2:$B$31, 0), MATCH($B$9, AccuracyTable!$C$1:$AF$1, 0)))</f>
        <v>0.59119999999999995</v>
      </c>
      <c r="J25" s="22">
        <f>IF($B$10="","",INDEX(AccuracyTable!$C$2:$AF$31, MATCH($A25, AccuracyTable!$B$2:$B$31, 0), MATCH($B$10, AccuracyTable!$C$1:$AF$1, 0)))</f>
        <v>0.62229999999999996</v>
      </c>
      <c r="K25" s="21">
        <f t="shared" si="3"/>
        <v>15.6384739921431</v>
      </c>
      <c r="L25" s="21">
        <f t="shared" si="4"/>
        <v>16.616993950951599</v>
      </c>
      <c r="M25" s="21">
        <f t="shared" si="5"/>
        <v>17.583617010564854</v>
      </c>
      <c r="N25" s="21">
        <f t="shared" si="6"/>
        <v>18.508600922994773</v>
      </c>
      <c r="P25" s="26">
        <f t="shared" si="7"/>
        <v>3.2499999999999973E-2</v>
      </c>
    </row>
    <row r="26" spans="1:16" x14ac:dyDescent="0.25">
      <c r="A26" s="8" t="s">
        <v>81</v>
      </c>
      <c r="B26" s="7">
        <f>INDEX(AccuracyTable!$A$2:$A$31, MATCH($A26, AccuracyTable!$B$2:$B$31, 0))</f>
        <v>2013</v>
      </c>
      <c r="C26" s="20">
        <v>0.5</v>
      </c>
      <c r="D26" s="21">
        <f t="shared" si="0"/>
        <v>1006.5</v>
      </c>
      <c r="E26" s="22">
        <f t="shared" si="1"/>
        <v>2.132677320518199E-2</v>
      </c>
      <c r="F26" s="21">
        <f t="shared" si="2"/>
        <v>4.7345436515504016</v>
      </c>
      <c r="G26" s="22">
        <f>IF($B$7="","",INDEX(AccuracyTable!$C$2:$AF$31, MATCH($A26, AccuracyTable!$B$2:$B$31, 0), MATCH($B$7, AccuracyTable!$C$1:$AF$1, 0)))</f>
        <v>0.95</v>
      </c>
      <c r="H26" s="22">
        <f>IF($B$8="","",INDEX(AccuracyTable!$C$2:$AF$31, MATCH($A26, AccuracyTable!$B$2:$B$31, 0), MATCH($B$8, AccuracyTable!$C$1:$AF$1, 0)))</f>
        <v>0.95</v>
      </c>
      <c r="I26" s="22">
        <f>IF($B$9="","",INDEX(AccuracyTable!$C$2:$AF$31, MATCH($A26, AccuracyTable!$B$2:$B$31, 0), MATCH($B$9, AccuracyTable!$C$1:$AF$1, 0)))</f>
        <v>0.95</v>
      </c>
      <c r="J26" s="22">
        <f>IF($B$10="","",INDEX(AccuracyTable!$C$2:$AF$31, MATCH($A26, AccuracyTable!$B$2:$B$31, 0), MATCH($B$10, AccuracyTable!$C$1:$AF$1, 0)))</f>
        <v>0.95</v>
      </c>
      <c r="K26" s="21">
        <f t="shared" si="3"/>
        <v>4.4978164689728812</v>
      </c>
      <c r="L26" s="21">
        <f t="shared" si="4"/>
        <v>4.4978164689728812</v>
      </c>
      <c r="M26" s="21">
        <f t="shared" si="5"/>
        <v>4.4978164689728812</v>
      </c>
      <c r="N26" s="21">
        <f t="shared" si="6"/>
        <v>4.4978164689728812</v>
      </c>
      <c r="P26" s="26">
        <f t="shared" si="7"/>
        <v>0</v>
      </c>
    </row>
    <row r="27" spans="1:16" x14ac:dyDescent="0.25">
      <c r="A27" s="8" t="s">
        <v>82</v>
      </c>
      <c r="B27" s="7">
        <f>INDEX(AccuracyTable!$A$2:$A$31, MATCH($A27, AccuracyTable!$B$2:$B$31, 0))</f>
        <v>2072</v>
      </c>
      <c r="C27" s="20">
        <v>0.35</v>
      </c>
      <c r="D27" s="21">
        <f t="shared" si="0"/>
        <v>725.19999999999993</v>
      </c>
      <c r="E27" s="22">
        <f t="shared" si="1"/>
        <v>1.53662950108276E-2</v>
      </c>
      <c r="F27" s="21">
        <f t="shared" si="2"/>
        <v>3.4113174924037271</v>
      </c>
      <c r="G27" s="22">
        <f>IF($B$7="","",INDEX(AccuracyTable!$C$2:$AF$31, MATCH($A27, AccuracyTable!$B$2:$B$31, 0), MATCH($B$7, AccuracyTable!$C$1:$AF$1, 0)))</f>
        <v>0.95</v>
      </c>
      <c r="H27" s="22">
        <f>IF($B$8="","",INDEX(AccuracyTable!$C$2:$AF$31, MATCH($A27, AccuracyTable!$B$2:$B$31, 0), MATCH($B$8, AccuracyTable!$C$1:$AF$1, 0)))</f>
        <v>0.95</v>
      </c>
      <c r="I27" s="22">
        <f>IF($B$9="","",INDEX(AccuracyTable!$C$2:$AF$31, MATCH($A27, AccuracyTable!$B$2:$B$31, 0), MATCH($B$9, AccuracyTable!$C$1:$AF$1, 0)))</f>
        <v>0.95</v>
      </c>
      <c r="J27" s="22">
        <f>IF($B$10="","",INDEX(AccuracyTable!$C$2:$AF$31, MATCH($A27, AccuracyTable!$B$2:$B$31, 0), MATCH($B$10, AccuracyTable!$C$1:$AF$1, 0)))</f>
        <v>0.95</v>
      </c>
      <c r="K27" s="21">
        <f t="shared" si="3"/>
        <v>3.2407516177835407</v>
      </c>
      <c r="L27" s="21">
        <f t="shared" si="4"/>
        <v>3.2407516177835407</v>
      </c>
      <c r="M27" s="21">
        <f t="shared" si="5"/>
        <v>3.2407516177835407</v>
      </c>
      <c r="N27" s="21">
        <f t="shared" si="6"/>
        <v>3.2407516177835407</v>
      </c>
      <c r="P27" s="26">
        <f t="shared" si="7"/>
        <v>0</v>
      </c>
    </row>
    <row r="28" spans="1:16" x14ac:dyDescent="0.25">
      <c r="A28" s="8" t="s">
        <v>83</v>
      </c>
      <c r="B28" s="7">
        <f>INDEX(AccuracyTable!$A$2:$A$31, MATCH($A28, AccuracyTable!$B$2:$B$31, 0))</f>
        <v>2433</v>
      </c>
      <c r="C28" s="20">
        <v>0</v>
      </c>
      <c r="D28" s="21">
        <f t="shared" si="0"/>
        <v>0</v>
      </c>
      <c r="E28" s="22">
        <f t="shared" si="1"/>
        <v>0</v>
      </c>
      <c r="F28" s="21">
        <f t="shared" si="2"/>
        <v>0</v>
      </c>
      <c r="G28" s="22">
        <f>IF($B$7="","",INDEX(AccuracyTable!$C$2:$AF$31, MATCH($A28, AccuracyTable!$B$2:$B$31, 0), MATCH($B$7, AccuracyTable!$C$1:$AF$1, 0)))</f>
        <v>0.95</v>
      </c>
      <c r="H28" s="22">
        <f>IF($B$8="","",INDEX(AccuracyTable!$C$2:$AF$31, MATCH($A28, AccuracyTable!$B$2:$B$31, 0), MATCH($B$8, AccuracyTable!$C$1:$AF$1, 0)))</f>
        <v>0.95</v>
      </c>
      <c r="I28" s="22">
        <f>IF($B$9="","",INDEX(AccuracyTable!$C$2:$AF$31, MATCH($A28, AccuracyTable!$B$2:$B$31, 0), MATCH($B$9, AccuracyTable!$C$1:$AF$1, 0)))</f>
        <v>0.95</v>
      </c>
      <c r="J28" s="22">
        <f>IF($B$10="","",INDEX(AccuracyTable!$C$2:$AF$31, MATCH($A28, AccuracyTable!$B$2:$B$31, 0), MATCH($B$10, AccuracyTable!$C$1:$AF$1, 0)))</f>
        <v>0.95</v>
      </c>
      <c r="K28" s="21">
        <f t="shared" si="3"/>
        <v>0</v>
      </c>
      <c r="L28" s="21">
        <f t="shared" si="4"/>
        <v>0</v>
      </c>
      <c r="M28" s="21">
        <f t="shared" si="5"/>
        <v>0</v>
      </c>
      <c r="N28" s="21">
        <f t="shared" si="6"/>
        <v>0</v>
      </c>
      <c r="P28" s="26">
        <f t="shared" si="7"/>
        <v>0</v>
      </c>
    </row>
    <row r="29" spans="1:16" x14ac:dyDescent="0.25">
      <c r="A29" s="23" t="s">
        <v>122</v>
      </c>
      <c r="D29" s="24">
        <f>SUM($D$18:$D$28)</f>
        <v>47194.200000000004</v>
      </c>
      <c r="E29" s="25">
        <f>SUM($E$18:$E$28)</f>
        <v>0.99999999999999989</v>
      </c>
      <c r="F29" s="24">
        <f>SUM($F$18:$F$28)</f>
        <v>221.99999999999997</v>
      </c>
      <c r="K29" s="24">
        <f>SUM($K$18:$K$28)</f>
        <v>166.81836477999411</v>
      </c>
      <c r="L29" s="24">
        <f>SUM($L$18:$L$28)</f>
        <v>173.17430500146202</v>
      </c>
      <c r="M29" s="24">
        <f>SUM($M$18:$M$28)</f>
        <v>179.23128854393124</v>
      </c>
      <c r="N29" s="24">
        <f>SUM($N$18:$N$28)</f>
        <v>184.60480601853618</v>
      </c>
    </row>
    <row r="31" spans="1:16" ht="30" x14ac:dyDescent="0.25">
      <c r="A31" s="17" t="s">
        <v>123</v>
      </c>
      <c r="K31" s="21">
        <f>IF($B$7="","",SUMPRODUCT($F$18:$F$28,$G$18:$G$28,(1-$G$18:$G$28)))</f>
        <v>37.396864158759044</v>
      </c>
      <c r="L31" s="21">
        <f>IF($B$8="","",SUMPRODUCT($F$18:$F$28,$H$18:$H$28,(1-$H$18:$H$28)))</f>
        <v>34.494120584617384</v>
      </c>
      <c r="M31" s="21">
        <f>IF($B$9="","",SUMPRODUCT($F$18:$F$28,$I$18:$I$28,(1-$I$18:$I$28)))</f>
        <v>31.421214809929179</v>
      </c>
      <c r="N31" s="21">
        <f>IF($B$10="","",SUMPRODUCT($F$18:$F$28,$J$18:$J$28,(1-$J$18:$J$28)))</f>
        <v>28.455561597987717</v>
      </c>
    </row>
    <row r="32" spans="1:16" ht="30" x14ac:dyDescent="0.25">
      <c r="A32" s="17" t="s">
        <v>124</v>
      </c>
      <c r="K32" s="21">
        <f>IF($B$7="","",SQRT(K31))</f>
        <v>6.1152975527572693</v>
      </c>
      <c r="L32" s="21">
        <f>IF($B$8="","",SQRT(L31))</f>
        <v>5.873169551836332</v>
      </c>
      <c r="M32" s="21">
        <f>IF($B$9="","",SQRT(M31))</f>
        <v>5.6054629434087939</v>
      </c>
      <c r="N32" s="21">
        <f>IF($B$10="","",SQRT(N31))</f>
        <v>5.3343754646619805</v>
      </c>
    </row>
  </sheetData>
  <mergeCells count="4">
    <mergeCell ref="A3:C3"/>
    <mergeCell ref="D3:N3"/>
    <mergeCell ref="A6:C6"/>
    <mergeCell ref="A1:N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32"/>
  <sheetViews>
    <sheetView showGridLines="0" topLeftCell="A9" zoomScale="160" zoomScaleNormal="160" workbookViewId="0">
      <selection activeCell="A6" sqref="A6:C6"/>
    </sheetView>
  </sheetViews>
  <sheetFormatPr defaultRowHeight="15" x14ac:dyDescent="0.25"/>
  <cols>
    <col min="1" max="1" width="10" customWidth="1"/>
    <col min="2" max="2" width="8" customWidth="1"/>
    <col min="3" max="5" width="12" customWidth="1"/>
    <col min="6" max="6" width="13" customWidth="1"/>
    <col min="7" max="10" width="12" customWidth="1"/>
    <col min="11" max="14" width="14" customWidth="1"/>
  </cols>
  <sheetData>
    <row r="1" spans="1:14" x14ac:dyDescent="0.25">
      <c r="A1" s="32" t="s">
        <v>136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</row>
    <row r="3" spans="1:14" x14ac:dyDescent="0.25">
      <c r="A3" s="27" t="s">
        <v>86</v>
      </c>
      <c r="B3" s="28"/>
      <c r="C3" s="28"/>
      <c r="D3" s="27" t="s">
        <v>87</v>
      </c>
      <c r="E3" s="28"/>
      <c r="F3" s="28"/>
      <c r="G3" s="28"/>
      <c r="H3" s="28"/>
      <c r="I3" s="28"/>
      <c r="J3" s="28"/>
      <c r="K3" s="28"/>
      <c r="L3" s="28"/>
      <c r="M3" s="28"/>
      <c r="N3" s="28"/>
    </row>
    <row r="4" spans="1:14" ht="75" x14ac:dyDescent="0.25">
      <c r="A4" t="s">
        <v>88</v>
      </c>
      <c r="B4" s="10">
        <v>13</v>
      </c>
      <c r="D4" s="1" t="s">
        <v>89</v>
      </c>
      <c r="E4" s="11">
        <f>M29</f>
        <v>199.59942362588984</v>
      </c>
    </row>
    <row r="5" spans="1:14" ht="60" x14ac:dyDescent="0.25">
      <c r="A5" t="s">
        <v>90</v>
      </c>
      <c r="B5" s="12">
        <v>239</v>
      </c>
      <c r="D5" s="1" t="s">
        <v>91</v>
      </c>
      <c r="E5" s="13">
        <f>ROUNDUP($E$4,0)</f>
        <v>200</v>
      </c>
    </row>
    <row r="6" spans="1:14" x14ac:dyDescent="0.25">
      <c r="A6" s="31" t="s">
        <v>92</v>
      </c>
      <c r="B6" s="28"/>
      <c r="C6" s="28"/>
    </row>
    <row r="7" spans="1:14" ht="30" x14ac:dyDescent="0.25">
      <c r="A7" t="s">
        <v>93</v>
      </c>
      <c r="B7" s="14">
        <f>IF(OR($B$4-1&lt;0.5,$B$4-1&gt;15),"",$B$4-1)</f>
        <v>12</v>
      </c>
      <c r="D7" s="1" t="s">
        <v>94</v>
      </c>
      <c r="E7" s="15">
        <f>IF($B$7="",-1,IF(K32=0,IF(K29&gt;=$E$5,1,0),1-_xlfn.NORM.DIST($E$5-0.5,K29,K32,TRUE)))</f>
        <v>2.1699908352721398E-2</v>
      </c>
    </row>
    <row r="8" spans="1:14" ht="45" x14ac:dyDescent="0.25">
      <c r="A8" t="s">
        <v>95</v>
      </c>
      <c r="B8" s="14">
        <f>IF(OR($B$4-0.5&lt;0.5,$B$4-0.5&gt;15),"",$B$4-0.5)</f>
        <v>12.5</v>
      </c>
      <c r="D8" s="1" t="s">
        <v>96</v>
      </c>
      <c r="E8" s="15">
        <f>IF($B$8="",-1,IF(L32=0,IF(L29&gt;=$E$5,1,0),1-_xlfn.NORM.DIST($E$5-0.5,L29,L32,TRUE)))</f>
        <v>0.15039044189675099</v>
      </c>
    </row>
    <row r="9" spans="1:14" ht="30" x14ac:dyDescent="0.25">
      <c r="A9" t="s">
        <v>97</v>
      </c>
      <c r="B9" s="14">
        <f>$B$4</f>
        <v>13</v>
      </c>
      <c r="D9" s="1" t="s">
        <v>98</v>
      </c>
      <c r="E9" s="15">
        <f>IF($B$9="",-1,IF(M32=0,IF(M29&gt;=$E$5,1,0),1-_xlfn.NORM.DIST($E$5-0.5,M29,M32,TRUE)))</f>
        <v>0.50717771781311938</v>
      </c>
    </row>
    <row r="10" spans="1:14" ht="45" x14ac:dyDescent="0.25">
      <c r="A10" t="s">
        <v>99</v>
      </c>
      <c r="B10" s="14">
        <f>IF(OR($B$4+0.5&lt;0.5,$B$4+0.5&gt;15),"",$B$4+0.5)</f>
        <v>13.5</v>
      </c>
      <c r="D10" s="1" t="s">
        <v>100</v>
      </c>
      <c r="E10" s="15">
        <f>IF($B$10="",-1,IF(N32=0,IF(N29&gt;=$E$5,1,0),1-_xlfn.NORM.DIST($E$5-0.5,N29,N32,TRUE)))</f>
        <v>0.87368053666051271</v>
      </c>
    </row>
    <row r="11" spans="1:14" x14ac:dyDescent="0.25">
      <c r="E11" s="16" t="s">
        <v>101</v>
      </c>
      <c r="F11" s="16" t="s">
        <v>102</v>
      </c>
      <c r="G11" s="16" t="s">
        <v>103</v>
      </c>
      <c r="H11" s="16" t="s">
        <v>104</v>
      </c>
    </row>
    <row r="12" spans="1:14" ht="30" x14ac:dyDescent="0.25">
      <c r="D12" s="17" t="s">
        <v>105</v>
      </c>
      <c r="E12" s="18">
        <f>IF($B$7="","",K29)</f>
        <v>187.16360907748719</v>
      </c>
      <c r="F12" s="18">
        <f>IF($B$8="","",L29)</f>
        <v>193.46489821200666</v>
      </c>
      <c r="G12" s="18">
        <f>IF($B$9="","",M29)</f>
        <v>199.59942362588984</v>
      </c>
      <c r="H12" s="18">
        <f>IF($B$10="","",N29)</f>
        <v>205.44091341821454</v>
      </c>
    </row>
    <row r="13" spans="1:14" x14ac:dyDescent="0.25">
      <c r="D13" s="17" t="s">
        <v>106</v>
      </c>
      <c r="E13" s="19">
        <f>IF($B$7="","",K29/$B$5)</f>
        <v>0.78311133505224773</v>
      </c>
      <c r="F13" s="19">
        <f>IF($B$8="","",L29/$B$5)</f>
        <v>0.80947656155651326</v>
      </c>
      <c r="G13" s="19">
        <f>IF($B$9="","",M29/$B$5)</f>
        <v>0.83514403190748887</v>
      </c>
      <c r="H13" s="19">
        <f>IF($B$10="","",N29/$B$5)</f>
        <v>0.85958541179169257</v>
      </c>
    </row>
    <row r="14" spans="1:14" ht="30" x14ac:dyDescent="0.25">
      <c r="D14" s="17" t="s">
        <v>107</v>
      </c>
      <c r="E14" s="18">
        <f>IF($B$7="","",K32)</f>
        <v>6.1076030400081587</v>
      </c>
      <c r="F14" s="18">
        <f>IF($B$8="","",L32)</f>
        <v>5.8323671596880144</v>
      </c>
      <c r="G14" s="18">
        <f>IF($B$9="","",M32)</f>
        <v>5.5257324133724568</v>
      </c>
      <c r="H14" s="18">
        <f>IF($B$10="","",N32)</f>
        <v>5.1932734952195485</v>
      </c>
    </row>
    <row r="17" spans="1:16" ht="30" x14ac:dyDescent="0.25">
      <c r="A17" s="3" t="s">
        <v>108</v>
      </c>
      <c r="B17" s="3" t="s">
        <v>109</v>
      </c>
      <c r="C17" s="3" t="s">
        <v>110</v>
      </c>
      <c r="D17" s="3" t="s">
        <v>111</v>
      </c>
      <c r="E17" s="3" t="s">
        <v>112</v>
      </c>
      <c r="F17" s="3" t="s">
        <v>113</v>
      </c>
      <c r="G17" s="3" t="s">
        <v>114</v>
      </c>
      <c r="H17" s="3" t="s">
        <v>115</v>
      </c>
      <c r="I17" s="3" t="s">
        <v>116</v>
      </c>
      <c r="J17" s="3" t="s">
        <v>117</v>
      </c>
      <c r="K17" s="3" t="s">
        <v>118</v>
      </c>
      <c r="L17" s="3" t="s">
        <v>119</v>
      </c>
      <c r="M17" s="3" t="s">
        <v>120</v>
      </c>
      <c r="N17" s="3" t="s">
        <v>121</v>
      </c>
    </row>
    <row r="18" spans="1:16" x14ac:dyDescent="0.25">
      <c r="A18" s="8" t="s">
        <v>63</v>
      </c>
      <c r="B18" s="7">
        <f>INDEX(AccuracyTable!$A$2:$A$31, MATCH($A18, AccuracyTable!$B$2:$B$31, 0))</f>
        <v>3785</v>
      </c>
      <c r="C18" s="20">
        <v>0.5</v>
      </c>
      <c r="D18" s="21">
        <f t="shared" ref="D18:D28" si="0">B18*C18</f>
        <v>1892.5</v>
      </c>
      <c r="E18" s="22">
        <f t="shared" ref="E18:E28" si="1">D18/SUM($D$18:$D$28)</f>
        <v>4.2560560247649606E-2</v>
      </c>
      <c r="F18" s="21">
        <f t="shared" ref="F18:F28" si="2">$B$5*E18</f>
        <v>10.171973899188256</v>
      </c>
      <c r="G18" s="22">
        <f>IF($B$7="","",INDEX(AccuracyTable!$C$2:$AF$31, MATCH($A18, AccuracyTable!$B$2:$B$31, 0), MATCH($B$7, AccuracyTable!$C$1:$AF$1, 0)))</f>
        <v>0.95</v>
      </c>
      <c r="H18" s="22">
        <f>IF($B$8="","",INDEX(AccuracyTable!$C$2:$AF$31, MATCH($A18, AccuracyTable!$B$2:$B$31, 0), MATCH($B$8, AccuracyTable!$C$1:$AF$1, 0)))</f>
        <v>0.95</v>
      </c>
      <c r="I18" s="22">
        <f>IF($B$9="","",INDEX(AccuracyTable!$C$2:$AF$31, MATCH($A18, AccuracyTable!$B$2:$B$31, 0), MATCH($B$9, AccuracyTable!$C$1:$AF$1, 0)))</f>
        <v>0.95</v>
      </c>
      <c r="J18" s="22">
        <f>IF($B$10="","",INDEX(AccuracyTable!$C$2:$AF$31, MATCH($A18, AccuracyTable!$B$2:$B$31, 0), MATCH($B$10, AccuracyTable!$C$1:$AF$1, 0)))</f>
        <v>0.95</v>
      </c>
      <c r="K18" s="21">
        <f t="shared" ref="K18:K28" si="3">IF($B$7="","",F18*G18)</f>
        <v>9.6633752042288421</v>
      </c>
      <c r="L18" s="21">
        <f t="shared" ref="L18:L28" si="4">IF($B$8="","",F18*H18)</f>
        <v>9.6633752042288421</v>
      </c>
      <c r="M18" s="21">
        <f t="shared" ref="M18:M28" si="5">IF($B$9="","",F18*I18)</f>
        <v>9.6633752042288421</v>
      </c>
      <c r="N18" s="21">
        <f t="shared" ref="N18:N28" si="6">IF($B$10="","",F18*J18)</f>
        <v>9.6633752042288421</v>
      </c>
      <c r="P18" s="26">
        <f>I18-H18</f>
        <v>0</v>
      </c>
    </row>
    <row r="19" spans="1:16" x14ac:dyDescent="0.25">
      <c r="A19" s="8" t="s">
        <v>64</v>
      </c>
      <c r="B19" s="7">
        <f>INDEX(AccuracyTable!$A$2:$A$31, MATCH($A19, AccuracyTable!$B$2:$B$31, 0))</f>
        <v>4374</v>
      </c>
      <c r="C19" s="20">
        <v>0.6</v>
      </c>
      <c r="D19" s="21">
        <f t="shared" si="0"/>
        <v>2624.4</v>
      </c>
      <c r="E19" s="22">
        <f t="shared" si="1"/>
        <v>5.9020308752407734E-2</v>
      </c>
      <c r="F19" s="21">
        <f t="shared" si="2"/>
        <v>14.105853791825448</v>
      </c>
      <c r="G19" s="22">
        <f>IF($B$7="","",INDEX(AccuracyTable!$C$2:$AF$31, MATCH($A19, AccuracyTable!$B$2:$B$31, 0), MATCH($B$7, AccuracyTable!$C$1:$AF$1, 0)))</f>
        <v>0.94930000000000003</v>
      </c>
      <c r="H19" s="22">
        <f>IF($B$8="","",INDEX(AccuracyTable!$C$2:$AF$31, MATCH($A19, AccuracyTable!$B$2:$B$31, 0), MATCH($B$8, AccuracyTable!$C$1:$AF$1, 0)))</f>
        <v>0.94989999999999997</v>
      </c>
      <c r="I19" s="22">
        <f>IF($B$9="","",INDEX(AccuracyTable!$C$2:$AF$31, MATCH($A19, AccuracyTable!$B$2:$B$31, 0), MATCH($B$9, AccuracyTable!$C$1:$AF$1, 0)))</f>
        <v>0.95</v>
      </c>
      <c r="J19" s="22">
        <f>IF($B$10="","",INDEX(AccuracyTable!$C$2:$AF$31, MATCH($A19, AccuracyTable!$B$2:$B$31, 0), MATCH($B$10, AccuracyTable!$C$1:$AF$1, 0)))</f>
        <v>0.95</v>
      </c>
      <c r="K19" s="21">
        <f t="shared" si="3"/>
        <v>13.390687004579897</v>
      </c>
      <c r="L19" s="21">
        <f t="shared" si="4"/>
        <v>13.399150516854991</v>
      </c>
      <c r="M19" s="21">
        <f t="shared" si="5"/>
        <v>13.400561102234175</v>
      </c>
      <c r="N19" s="21">
        <f t="shared" si="6"/>
        <v>13.400561102234175</v>
      </c>
      <c r="P19" s="26">
        <f t="shared" ref="P19:P28" si="7">I19-H19</f>
        <v>9.9999999999988987E-5</v>
      </c>
    </row>
    <row r="20" spans="1:16" x14ac:dyDescent="0.25">
      <c r="A20" s="8" t="s">
        <v>65</v>
      </c>
      <c r="B20" s="7">
        <f>INDEX(AccuracyTable!$A$2:$A$31, MATCH($A20, AccuracyTable!$B$2:$B$31, 0))</f>
        <v>4503</v>
      </c>
      <c r="C20" s="20">
        <v>0.8</v>
      </c>
      <c r="D20" s="21">
        <f t="shared" si="0"/>
        <v>3602.4</v>
      </c>
      <c r="E20" s="22">
        <f t="shared" si="1"/>
        <v>8.1014616769422967E-2</v>
      </c>
      <c r="F20" s="21">
        <f t="shared" si="2"/>
        <v>19.362493407892089</v>
      </c>
      <c r="G20" s="22">
        <f>IF($B$7="","",INDEX(AccuracyTable!$C$2:$AF$31, MATCH($A20, AccuracyTable!$B$2:$B$31, 0), MATCH($B$7, AccuracyTable!$C$1:$AF$1, 0)))</f>
        <v>0.93180000000000007</v>
      </c>
      <c r="H20" s="22">
        <f>IF($B$8="","",INDEX(AccuracyTable!$C$2:$AF$31, MATCH($A20, AccuracyTable!$B$2:$B$31, 0), MATCH($B$8, AccuracyTable!$C$1:$AF$1, 0)))</f>
        <v>0.94299999999999995</v>
      </c>
      <c r="I20" s="22">
        <f>IF($B$9="","",INDEX(AccuracyTable!$C$2:$AF$31, MATCH($A20, AccuracyTable!$B$2:$B$31, 0), MATCH($B$9, AccuracyTable!$C$1:$AF$1, 0)))</f>
        <v>0.94810000000000005</v>
      </c>
      <c r="J20" s="22">
        <f>IF($B$10="","",INDEX(AccuracyTable!$C$2:$AF$31, MATCH($A20, AccuracyTable!$B$2:$B$31, 0), MATCH($B$10, AccuracyTable!$C$1:$AF$1, 0)))</f>
        <v>0.94969999999999999</v>
      </c>
      <c r="K20" s="21">
        <f t="shared" si="3"/>
        <v>18.041971357473848</v>
      </c>
      <c r="L20" s="21">
        <f t="shared" si="4"/>
        <v>18.258831283642238</v>
      </c>
      <c r="M20" s="21">
        <f t="shared" si="5"/>
        <v>18.357580000022491</v>
      </c>
      <c r="N20" s="21">
        <f t="shared" si="6"/>
        <v>18.388559989475116</v>
      </c>
      <c r="P20" s="26">
        <f t="shared" si="7"/>
        <v>5.1000000000001044E-3</v>
      </c>
    </row>
    <row r="21" spans="1:16" x14ac:dyDescent="0.25">
      <c r="A21" s="8" t="s">
        <v>66</v>
      </c>
      <c r="B21" s="7">
        <f>INDEX(AccuracyTable!$A$2:$A$31, MATCH($A21, AccuracyTable!$B$2:$B$31, 0))</f>
        <v>4470</v>
      </c>
      <c r="C21" s="20">
        <v>1</v>
      </c>
      <c r="D21" s="21">
        <f t="shared" si="0"/>
        <v>4470</v>
      </c>
      <c r="E21" s="22">
        <f t="shared" si="1"/>
        <v>0.1005261317342107</v>
      </c>
      <c r="F21" s="21">
        <f t="shared" si="2"/>
        <v>24.025745484476356</v>
      </c>
      <c r="G21" s="22">
        <f>IF($B$7="","",INDEX(AccuracyTable!$C$2:$AF$31, MATCH($A21, AccuracyTable!$B$2:$B$31, 0), MATCH($B$7, AccuracyTable!$C$1:$AF$1, 0)))</f>
        <v>0.87470000000000003</v>
      </c>
      <c r="H21" s="22">
        <f>IF($B$8="","",INDEX(AccuracyTable!$C$2:$AF$31, MATCH($A21, AccuracyTable!$B$2:$B$31, 0), MATCH($B$8, AccuracyTable!$C$1:$AF$1, 0)))</f>
        <v>0.90390000000000004</v>
      </c>
      <c r="I21" s="22">
        <f>IF($B$9="","",INDEX(AccuracyTable!$C$2:$AF$31, MATCH($A21, AccuracyTable!$B$2:$B$31, 0), MATCH($B$9, AccuracyTable!$C$1:$AF$1, 0)))</f>
        <v>0.92659999999999998</v>
      </c>
      <c r="J21" s="22">
        <f>IF($B$10="","",INDEX(AccuracyTable!$C$2:$AF$31, MATCH($A21, AccuracyTable!$B$2:$B$31, 0), MATCH($B$10, AccuracyTable!$C$1:$AF$1, 0)))</f>
        <v>0.94069999999999998</v>
      </c>
      <c r="K21" s="21">
        <f t="shared" si="3"/>
        <v>21.015319575271469</v>
      </c>
      <c r="L21" s="21">
        <f t="shared" si="4"/>
        <v>21.71687134341818</v>
      </c>
      <c r="M21" s="21">
        <f t="shared" si="5"/>
        <v>22.262255765915793</v>
      </c>
      <c r="N21" s="21">
        <f t="shared" si="6"/>
        <v>22.601018777246907</v>
      </c>
      <c r="P21" s="26">
        <f t="shared" si="7"/>
        <v>2.2699999999999942E-2</v>
      </c>
    </row>
    <row r="22" spans="1:16" x14ac:dyDescent="0.25">
      <c r="A22" s="8" t="s">
        <v>67</v>
      </c>
      <c r="B22" s="7">
        <f>INDEX(AccuracyTable!$A$2:$A$31, MATCH($A22, AccuracyTable!$B$2:$B$31, 0))</f>
        <v>4276</v>
      </c>
      <c r="C22" s="20">
        <v>1.6</v>
      </c>
      <c r="D22" s="21">
        <f t="shared" si="0"/>
        <v>6841.6</v>
      </c>
      <c r="E22" s="22">
        <f t="shared" si="1"/>
        <v>0.15386120422209754</v>
      </c>
      <c r="F22" s="21">
        <f t="shared" si="2"/>
        <v>36.772827809081313</v>
      </c>
      <c r="G22" s="22">
        <f>IF($B$7="","",INDEX(AccuracyTable!$C$2:$AF$31, MATCH($A22, AccuracyTable!$B$2:$B$31, 0), MATCH($B$7, AccuracyTable!$C$1:$AF$1, 0)))</f>
        <v>0.80769999999999997</v>
      </c>
      <c r="H22" s="22">
        <f>IF($B$8="","",INDEX(AccuracyTable!$C$2:$AF$31, MATCH($A22, AccuracyTable!$B$2:$B$31, 0), MATCH($B$8, AccuracyTable!$C$1:$AF$1, 0)))</f>
        <v>0.84319999999999995</v>
      </c>
      <c r="I22" s="22">
        <f>IF($B$9="","",INDEX(AccuracyTable!$C$2:$AF$31, MATCH($A22, AccuracyTable!$B$2:$B$31, 0), MATCH($B$9, AccuracyTable!$C$1:$AF$1, 0)))</f>
        <v>0.87739999999999996</v>
      </c>
      <c r="J22" s="22">
        <f>IF($B$10="","",INDEX(AccuracyTable!$C$2:$AF$31, MATCH($A22, AccuracyTable!$B$2:$B$31, 0), MATCH($B$10, AccuracyTable!$C$1:$AF$1, 0)))</f>
        <v>0.90700000000000003</v>
      </c>
      <c r="K22" s="21">
        <f t="shared" si="3"/>
        <v>29.701413021394977</v>
      </c>
      <c r="L22" s="21">
        <f t="shared" si="4"/>
        <v>31.006848408617362</v>
      </c>
      <c r="M22" s="21">
        <f t="shared" si="5"/>
        <v>32.264479119687941</v>
      </c>
      <c r="N22" s="21">
        <f t="shared" si="6"/>
        <v>33.35295482283675</v>
      </c>
      <c r="P22" s="26">
        <f t="shared" si="7"/>
        <v>3.4200000000000008E-2</v>
      </c>
    </row>
    <row r="23" spans="1:16" x14ac:dyDescent="0.25">
      <c r="A23" s="8" t="s">
        <v>68</v>
      </c>
      <c r="B23" s="7">
        <f>INDEX(AccuracyTable!$A$2:$A$31, MATCH($A23, AccuracyTable!$B$2:$B$31, 0))</f>
        <v>4380</v>
      </c>
      <c r="C23" s="20">
        <v>2</v>
      </c>
      <c r="D23" s="21">
        <f t="shared" si="0"/>
        <v>8760</v>
      </c>
      <c r="E23" s="22">
        <f t="shared" si="1"/>
        <v>0.1970042313180505</v>
      </c>
      <c r="F23" s="21">
        <f t="shared" si="2"/>
        <v>47.084011285014071</v>
      </c>
      <c r="G23" s="22">
        <f>IF($B$7="","",INDEX(AccuracyTable!$C$2:$AF$31, MATCH($A23, AccuracyTable!$B$2:$B$31, 0), MATCH($B$7, AccuracyTable!$C$1:$AF$1, 0)))</f>
        <v>0.74970000000000003</v>
      </c>
      <c r="H23" s="22">
        <f>IF($B$8="","",INDEX(AccuracyTable!$C$2:$AF$31, MATCH($A23, AccuracyTable!$B$2:$B$31, 0), MATCH($B$8, AccuracyTable!$C$1:$AF$1, 0)))</f>
        <v>0.78439999999999999</v>
      </c>
      <c r="I23" s="22">
        <f>IF($B$9="","",INDEX(AccuracyTable!$C$2:$AF$31, MATCH($A23, AccuracyTable!$B$2:$B$31, 0), MATCH($B$9, AccuracyTable!$C$1:$AF$1, 0)))</f>
        <v>0.82030000000000003</v>
      </c>
      <c r="J23" s="22">
        <f>IF($B$10="","",INDEX(AccuracyTable!$C$2:$AF$31, MATCH($A23, AccuracyTable!$B$2:$B$31, 0), MATCH($B$10, AccuracyTable!$C$1:$AF$1, 0)))</f>
        <v>0.85609999999999997</v>
      </c>
      <c r="K23" s="21">
        <f t="shared" si="3"/>
        <v>35.29888326037505</v>
      </c>
      <c r="L23" s="21">
        <f t="shared" si="4"/>
        <v>36.932698451965038</v>
      </c>
      <c r="M23" s="21">
        <f t="shared" si="5"/>
        <v>38.623014457097042</v>
      </c>
      <c r="N23" s="21">
        <f t="shared" si="6"/>
        <v>40.308622061100543</v>
      </c>
      <c r="P23" s="26">
        <f t="shared" si="7"/>
        <v>3.5900000000000043E-2</v>
      </c>
    </row>
    <row r="24" spans="1:16" x14ac:dyDescent="0.25">
      <c r="A24" s="8" t="s">
        <v>69</v>
      </c>
      <c r="B24" s="7">
        <f>INDEX(AccuracyTable!$A$2:$A$31, MATCH($A24, AccuracyTable!$B$2:$B$31, 0))</f>
        <v>4674</v>
      </c>
      <c r="C24" s="20">
        <v>1.5</v>
      </c>
      <c r="D24" s="21">
        <f t="shared" si="0"/>
        <v>7011</v>
      </c>
      <c r="E24" s="22">
        <f t="shared" si="1"/>
        <v>0.15767085225694658</v>
      </c>
      <c r="F24" s="21">
        <f t="shared" si="2"/>
        <v>37.683333689410233</v>
      </c>
      <c r="G24" s="22">
        <f>IF($B$7="","",INDEX(AccuracyTable!$C$2:$AF$31, MATCH($A24, AccuracyTable!$B$2:$B$31, 0), MATCH($B$7, AccuracyTable!$C$1:$AF$1, 0)))</f>
        <v>0.71579999999999999</v>
      </c>
      <c r="H24" s="22">
        <f>IF($B$8="","",INDEX(AccuracyTable!$C$2:$AF$31, MATCH($A24, AccuracyTable!$B$2:$B$31, 0), MATCH($B$8, AccuracyTable!$C$1:$AF$1, 0)))</f>
        <v>0.74769999999999992</v>
      </c>
      <c r="I24" s="22">
        <f>IF($B$9="","",INDEX(AccuracyTable!$C$2:$AF$31, MATCH($A24, AccuracyTable!$B$2:$B$31, 0), MATCH($B$9, AccuracyTable!$C$1:$AF$1, 0)))</f>
        <v>0.7802</v>
      </c>
      <c r="J24" s="22">
        <f>IF($B$10="","",INDEX(AccuracyTable!$C$2:$AF$31, MATCH($A24, AccuracyTable!$B$2:$B$31, 0), MATCH($B$10, AccuracyTable!$C$1:$AF$1, 0)))</f>
        <v>0.81370000000000009</v>
      </c>
      <c r="K24" s="21">
        <f t="shared" si="3"/>
        <v>26.973730254879843</v>
      </c>
      <c r="L24" s="21">
        <f t="shared" si="4"/>
        <v>28.175828599572029</v>
      </c>
      <c r="M24" s="21">
        <f t="shared" si="5"/>
        <v>29.400536944477864</v>
      </c>
      <c r="N24" s="21">
        <f t="shared" si="6"/>
        <v>30.66292862307311</v>
      </c>
      <c r="P24" s="26">
        <f t="shared" si="7"/>
        <v>3.2500000000000084E-2</v>
      </c>
    </row>
    <row r="25" spans="1:16" x14ac:dyDescent="0.25">
      <c r="A25" s="8" t="s">
        <v>70</v>
      </c>
      <c r="B25" s="7">
        <f>INDEX(AccuracyTable!$A$2:$A$31, MATCH($A25, AccuracyTable!$B$2:$B$31, 0))</f>
        <v>5269</v>
      </c>
      <c r="C25" s="20">
        <v>1.4</v>
      </c>
      <c r="D25" s="21">
        <f t="shared" si="0"/>
        <v>7376.5999999999995</v>
      </c>
      <c r="E25" s="22">
        <f t="shared" si="1"/>
        <v>0.16589285533569992</v>
      </c>
      <c r="F25" s="21">
        <f t="shared" si="2"/>
        <v>39.648392425232281</v>
      </c>
      <c r="G25" s="22">
        <f>IF($B$7="","",INDEX(AccuracyTable!$C$2:$AF$31, MATCH($A25, AccuracyTable!$B$2:$B$31, 0), MATCH($B$7, AccuracyTable!$C$1:$AF$1, 0)))</f>
        <v>0.59119999999999995</v>
      </c>
      <c r="H25" s="22">
        <f>IF($B$8="","",INDEX(AccuracyTable!$C$2:$AF$31, MATCH($A25, AccuracyTable!$B$2:$B$31, 0), MATCH($B$8, AccuracyTable!$C$1:$AF$1, 0)))</f>
        <v>0.62229999999999996</v>
      </c>
      <c r="I25" s="22">
        <f>IF($B$9="","",INDEX(AccuracyTable!$C$2:$AF$31, MATCH($A25, AccuracyTable!$B$2:$B$31, 0), MATCH($B$9, AccuracyTable!$C$1:$AF$1, 0)))</f>
        <v>0.65549999999999997</v>
      </c>
      <c r="J25" s="22">
        <f>IF($B$10="","",INDEX(AccuracyTable!$C$2:$AF$31, MATCH($A25, AccuracyTable!$B$2:$B$31, 0), MATCH($B$10, AccuracyTable!$C$1:$AF$1, 0)))</f>
        <v>0.69169999999999998</v>
      </c>
      <c r="K25" s="21">
        <f t="shared" si="3"/>
        <v>23.440129601797324</v>
      </c>
      <c r="L25" s="21">
        <f t="shared" si="4"/>
        <v>24.673194606222047</v>
      </c>
      <c r="M25" s="21">
        <f t="shared" si="5"/>
        <v>25.989521234739758</v>
      </c>
      <c r="N25" s="21">
        <f t="shared" si="6"/>
        <v>27.424793040533167</v>
      </c>
      <c r="P25" s="26">
        <f t="shared" si="7"/>
        <v>3.3200000000000007E-2</v>
      </c>
    </row>
    <row r="26" spans="1:16" x14ac:dyDescent="0.25">
      <c r="A26" s="8" t="s">
        <v>82</v>
      </c>
      <c r="B26" s="7">
        <f>INDEX(AccuracyTable!$A$2:$A$31, MATCH($A26, AccuracyTable!$B$2:$B$31, 0))</f>
        <v>2072</v>
      </c>
      <c r="C26" s="20">
        <v>0.5</v>
      </c>
      <c r="D26" s="21">
        <f t="shared" si="0"/>
        <v>1036</v>
      </c>
      <c r="E26" s="22">
        <f t="shared" si="1"/>
        <v>2.329867393213474E-2</v>
      </c>
      <c r="F26" s="21">
        <f t="shared" si="2"/>
        <v>5.5683830697802028</v>
      </c>
      <c r="G26" s="22">
        <f>IF($B$7="","",INDEX(AccuracyTable!$C$2:$AF$31, MATCH($A26, AccuracyTable!$B$2:$B$31, 0), MATCH($B$7, AccuracyTable!$C$1:$AF$1, 0)))</f>
        <v>0.95</v>
      </c>
      <c r="H26" s="22">
        <f>IF($B$8="","",INDEX(AccuracyTable!$C$2:$AF$31, MATCH($A26, AccuracyTable!$B$2:$B$31, 0), MATCH($B$8, AccuracyTable!$C$1:$AF$1, 0)))</f>
        <v>0.95</v>
      </c>
      <c r="I26" s="22">
        <f>IF($B$9="","",INDEX(AccuracyTable!$C$2:$AF$31, MATCH($A26, AccuracyTable!$B$2:$B$31, 0), MATCH($B$9, AccuracyTable!$C$1:$AF$1, 0)))</f>
        <v>0.95</v>
      </c>
      <c r="J26" s="22">
        <f>IF($B$10="","",INDEX(AccuracyTable!$C$2:$AF$31, MATCH($A26, AccuracyTable!$B$2:$B$31, 0), MATCH($B$10, AccuracyTable!$C$1:$AF$1, 0)))</f>
        <v>0.95</v>
      </c>
      <c r="K26" s="21">
        <f t="shared" si="3"/>
        <v>5.2899639162911924</v>
      </c>
      <c r="L26" s="21">
        <f t="shared" si="4"/>
        <v>5.2899639162911924</v>
      </c>
      <c r="M26" s="21">
        <f t="shared" si="5"/>
        <v>5.2899639162911924</v>
      </c>
      <c r="N26" s="21">
        <f t="shared" si="6"/>
        <v>5.2899639162911924</v>
      </c>
      <c r="P26" s="26">
        <f t="shared" si="7"/>
        <v>0</v>
      </c>
    </row>
    <row r="27" spans="1:16" x14ac:dyDescent="0.25">
      <c r="A27" s="8" t="s">
        <v>83</v>
      </c>
      <c r="B27" s="7">
        <f>INDEX(AccuracyTable!$A$2:$A$31, MATCH($A27, AccuracyTable!$B$2:$B$31, 0))</f>
        <v>2433</v>
      </c>
      <c r="C27" s="20">
        <v>0.35</v>
      </c>
      <c r="D27" s="21">
        <f t="shared" si="0"/>
        <v>851.55</v>
      </c>
      <c r="E27" s="22">
        <f t="shared" si="1"/>
        <v>1.9150565431379669E-2</v>
      </c>
      <c r="F27" s="21">
        <f t="shared" si="2"/>
        <v>4.5769851380997411</v>
      </c>
      <c r="G27" s="22">
        <f>IF($B$7="","",INDEX(AccuracyTable!$C$2:$AF$31, MATCH($A27, AccuracyTable!$B$2:$B$31, 0), MATCH($B$7, AccuracyTable!$C$1:$AF$1, 0)))</f>
        <v>0.95</v>
      </c>
      <c r="H27" s="22">
        <f>IF($B$8="","",INDEX(AccuracyTable!$C$2:$AF$31, MATCH($A27, AccuracyTable!$B$2:$B$31, 0), MATCH($B$8, AccuracyTable!$C$1:$AF$1, 0)))</f>
        <v>0.95</v>
      </c>
      <c r="I27" s="22">
        <f>IF($B$9="","",INDEX(AccuracyTable!$C$2:$AF$31, MATCH($A27, AccuracyTable!$B$2:$B$31, 0), MATCH($B$9, AccuracyTable!$C$1:$AF$1, 0)))</f>
        <v>0.95</v>
      </c>
      <c r="J27" s="22">
        <f>IF($B$10="","",INDEX(AccuracyTable!$C$2:$AF$31, MATCH($A27, AccuracyTable!$B$2:$B$31, 0), MATCH($B$10, AccuracyTable!$C$1:$AF$1, 0)))</f>
        <v>0.95</v>
      </c>
      <c r="K27" s="21">
        <f t="shared" si="3"/>
        <v>4.3481358811947537</v>
      </c>
      <c r="L27" s="21">
        <f t="shared" si="4"/>
        <v>4.3481358811947537</v>
      </c>
      <c r="M27" s="21">
        <f t="shared" si="5"/>
        <v>4.3481358811947537</v>
      </c>
      <c r="N27" s="21">
        <f t="shared" si="6"/>
        <v>4.3481358811947537</v>
      </c>
      <c r="P27" s="26">
        <f t="shared" si="7"/>
        <v>0</v>
      </c>
    </row>
    <row r="28" spans="1:16" x14ac:dyDescent="0.25">
      <c r="A28" s="8" t="s">
        <v>84</v>
      </c>
      <c r="B28" s="7">
        <f>INDEX(AccuracyTable!$A$2:$A$31, MATCH($A28, AccuracyTable!$B$2:$B$31, 0))</f>
        <v>2137</v>
      </c>
      <c r="C28" s="20">
        <v>0</v>
      </c>
      <c r="D28" s="21">
        <f t="shared" si="0"/>
        <v>0</v>
      </c>
      <c r="E28" s="22">
        <f t="shared" si="1"/>
        <v>0</v>
      </c>
      <c r="F28" s="21">
        <f t="shared" si="2"/>
        <v>0</v>
      </c>
      <c r="G28" s="22">
        <f>IF($B$7="","",INDEX(AccuracyTable!$C$2:$AF$31, MATCH($A28, AccuracyTable!$B$2:$B$31, 0), MATCH($B$7, AccuracyTable!$C$1:$AF$1, 0)))</f>
        <v>0.95</v>
      </c>
      <c r="H28" s="22">
        <f>IF($B$8="","",INDEX(AccuracyTable!$C$2:$AF$31, MATCH($A28, AccuracyTable!$B$2:$B$31, 0), MATCH($B$8, AccuracyTable!$C$1:$AF$1, 0)))</f>
        <v>0.95</v>
      </c>
      <c r="I28" s="22">
        <f>IF($B$9="","",INDEX(AccuracyTable!$C$2:$AF$31, MATCH($A28, AccuracyTable!$B$2:$B$31, 0), MATCH($B$9, AccuracyTable!$C$1:$AF$1, 0)))</f>
        <v>0.95</v>
      </c>
      <c r="J28" s="22">
        <f>IF($B$10="","",INDEX(AccuracyTable!$C$2:$AF$31, MATCH($A28, AccuracyTable!$B$2:$B$31, 0), MATCH($B$10, AccuracyTable!$C$1:$AF$1, 0)))</f>
        <v>0.95</v>
      </c>
      <c r="K28" s="21">
        <f t="shared" si="3"/>
        <v>0</v>
      </c>
      <c r="L28" s="21">
        <f t="shared" si="4"/>
        <v>0</v>
      </c>
      <c r="M28" s="21">
        <f t="shared" si="5"/>
        <v>0</v>
      </c>
      <c r="N28" s="21">
        <f t="shared" si="6"/>
        <v>0</v>
      </c>
      <c r="P28" s="26">
        <f t="shared" si="7"/>
        <v>0</v>
      </c>
    </row>
    <row r="29" spans="1:16" x14ac:dyDescent="0.25">
      <c r="A29" s="23" t="s">
        <v>122</v>
      </c>
      <c r="D29" s="24">
        <f>SUM($D$18:$D$28)</f>
        <v>44466.05</v>
      </c>
      <c r="E29" s="25">
        <f>SUM($E$18:$E$28)</f>
        <v>0.99999999999999989</v>
      </c>
      <c r="F29" s="24">
        <f>SUM($F$18:$F$28)</f>
        <v>238.99999999999997</v>
      </c>
      <c r="K29" s="24">
        <f>SUM($K$18:$K$28)</f>
        <v>187.16360907748719</v>
      </c>
      <c r="L29" s="24">
        <f>SUM($L$18:$L$28)</f>
        <v>193.46489821200666</v>
      </c>
      <c r="M29" s="24">
        <f>SUM($M$18:$M$28)</f>
        <v>199.59942362588984</v>
      </c>
      <c r="N29" s="24">
        <f>SUM($N$18:$N$28)</f>
        <v>205.44091341821454</v>
      </c>
    </row>
    <row r="31" spans="1:16" ht="30" x14ac:dyDescent="0.25">
      <c r="A31" s="17" t="s">
        <v>123</v>
      </c>
      <c r="K31" s="21">
        <f>IF($B$7="","",SUMPRODUCT($F$18:$F$28,$G$18:$G$28,(1-$G$18:$G$28)))</f>
        <v>37.302814894316903</v>
      </c>
      <c r="L31" s="21">
        <f>IF($B$8="","",SUMPRODUCT($F$18:$F$28,$H$18:$H$28,(1-$H$18:$H$28)))</f>
        <v>34.016506685407236</v>
      </c>
      <c r="M31" s="21">
        <f>IF($B$9="","",SUMPRODUCT($F$18:$F$28,$I$18:$I$28,(1-$I$18:$I$28)))</f>
        <v>30.533718704195</v>
      </c>
      <c r="N31" s="21">
        <f>IF($B$10="","",SUMPRODUCT($F$18:$F$28,$J$18:$J$28,(1-$J$18:$J$28)))</f>
        <v>26.970089596149869</v>
      </c>
    </row>
    <row r="32" spans="1:16" ht="30" x14ac:dyDescent="0.25">
      <c r="A32" s="17" t="s">
        <v>124</v>
      </c>
      <c r="K32" s="21">
        <f>IF($B$7="","",SQRT(K31))</f>
        <v>6.1076030400081587</v>
      </c>
      <c r="L32" s="21">
        <f>IF($B$8="","",SQRT(L31))</f>
        <v>5.8323671596880144</v>
      </c>
      <c r="M32" s="21">
        <f>IF($B$9="","",SQRT(M31))</f>
        <v>5.5257324133724568</v>
      </c>
      <c r="N32" s="21">
        <f>IF($B$10="","",SQRT(N31))</f>
        <v>5.1932734952195485</v>
      </c>
    </row>
  </sheetData>
  <mergeCells count="4">
    <mergeCell ref="A3:C3"/>
    <mergeCell ref="D3:N3"/>
    <mergeCell ref="A6:C6"/>
    <mergeCell ref="A1:N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P32"/>
  <sheetViews>
    <sheetView showGridLines="0" zoomScale="160" zoomScaleNormal="160" workbookViewId="0">
      <selection activeCell="C27" sqref="C27"/>
    </sheetView>
  </sheetViews>
  <sheetFormatPr defaultRowHeight="15" x14ac:dyDescent="0.25"/>
  <cols>
    <col min="1" max="1" width="10" customWidth="1"/>
    <col min="2" max="2" width="8" customWidth="1"/>
    <col min="3" max="5" width="12" customWidth="1"/>
    <col min="6" max="6" width="13" customWidth="1"/>
    <col min="7" max="10" width="12" customWidth="1"/>
    <col min="11" max="14" width="14" customWidth="1"/>
  </cols>
  <sheetData>
    <row r="1" spans="1:14" x14ac:dyDescent="0.25">
      <c r="A1" s="32" t="s">
        <v>137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</row>
    <row r="3" spans="1:14" x14ac:dyDescent="0.25">
      <c r="A3" s="27" t="s">
        <v>86</v>
      </c>
      <c r="B3" s="28"/>
      <c r="C3" s="28"/>
      <c r="D3" s="27" t="s">
        <v>87</v>
      </c>
      <c r="E3" s="28"/>
      <c r="F3" s="28"/>
      <c r="G3" s="28"/>
      <c r="H3" s="28"/>
      <c r="I3" s="28"/>
      <c r="J3" s="28"/>
      <c r="K3" s="28"/>
      <c r="L3" s="28"/>
      <c r="M3" s="28"/>
      <c r="N3" s="28"/>
    </row>
    <row r="4" spans="1:14" ht="75" x14ac:dyDescent="0.25">
      <c r="A4" t="s">
        <v>88</v>
      </c>
      <c r="B4" s="10">
        <v>14</v>
      </c>
      <c r="D4" s="1" t="s">
        <v>89</v>
      </c>
      <c r="E4" s="11">
        <f>M29</f>
        <v>199.69231982089133</v>
      </c>
    </row>
    <row r="5" spans="1:14" ht="60" x14ac:dyDescent="0.25">
      <c r="A5" t="s">
        <v>90</v>
      </c>
      <c r="B5" s="12">
        <v>231</v>
      </c>
      <c r="D5" s="1" t="s">
        <v>91</v>
      </c>
      <c r="E5" s="13">
        <f>ROUNDUP($E$4,0)</f>
        <v>200</v>
      </c>
    </row>
    <row r="6" spans="1:14" x14ac:dyDescent="0.25">
      <c r="A6" s="31" t="s">
        <v>92</v>
      </c>
      <c r="B6" s="28"/>
      <c r="C6" s="28"/>
    </row>
    <row r="7" spans="1:14" ht="30" x14ac:dyDescent="0.25">
      <c r="A7" t="s">
        <v>93</v>
      </c>
      <c r="B7" s="14">
        <f>IF(OR($B$4-1&lt;0.5,$B$4-1&gt;15),"",$B$4-1)</f>
        <v>13</v>
      </c>
      <c r="D7" s="1" t="s">
        <v>94</v>
      </c>
      <c r="E7" s="15">
        <f>IF($B$7="",-1,IF(K32=0,IF(K29&gt;=$E$5,1,0),1-_xlfn.NORM.DIST($E$5-0.5,K29,K32,TRUE)))</f>
        <v>1.5569447439513273E-2</v>
      </c>
    </row>
    <row r="8" spans="1:14" ht="45" x14ac:dyDescent="0.25">
      <c r="A8" t="s">
        <v>95</v>
      </c>
      <c r="B8" s="14">
        <f>IF(OR($B$4-0.5&lt;0.5,$B$4-0.5&gt;15),"",$B$4-0.5)</f>
        <v>13.5</v>
      </c>
      <c r="D8" s="1" t="s">
        <v>96</v>
      </c>
      <c r="E8" s="15">
        <f>IF($B$8="",-1,IF(L32=0,IF(L29&gt;=$E$5,1,0),1-_xlfn.NORM.DIST($E$5-0.5,L29,L32,TRUE)))</f>
        <v>0.13499227016466253</v>
      </c>
    </row>
    <row r="9" spans="1:14" ht="30" x14ac:dyDescent="0.25">
      <c r="A9" t="s">
        <v>97</v>
      </c>
      <c r="B9" s="14">
        <f>$B$4</f>
        <v>14</v>
      </c>
      <c r="D9" s="1" t="s">
        <v>98</v>
      </c>
      <c r="E9" s="15">
        <f>IF($B$9="",-1,IF(M32=0,IF(M29&gt;=$E$5,1,0),1-_xlfn.NORM.DIST($E$5-0.5,M29,M32,TRUE)))</f>
        <v>0.51515780983145198</v>
      </c>
    </row>
    <row r="10" spans="1:14" ht="45" x14ac:dyDescent="0.25">
      <c r="A10" t="s">
        <v>99</v>
      </c>
      <c r="B10" s="14">
        <f>IF(OR($B$4+0.5&lt;0.5,$B$4+0.5&gt;15),"",$B$4+0.5)</f>
        <v>14.5</v>
      </c>
      <c r="D10" s="1" t="s">
        <v>100</v>
      </c>
      <c r="E10" s="15">
        <f>IF($B$10="",-1,IF(N32=0,IF(N29&gt;=$E$5,1,0),1-_xlfn.NORM.DIST($E$5-0.5,N29,N32,TRUE)))</f>
        <v>0.99989070838327643</v>
      </c>
    </row>
    <row r="11" spans="1:14" x14ac:dyDescent="0.25">
      <c r="E11" s="16" t="s">
        <v>101</v>
      </c>
      <c r="F11" s="16" t="s">
        <v>102</v>
      </c>
      <c r="G11" s="16" t="s">
        <v>103</v>
      </c>
      <c r="H11" s="16" t="s">
        <v>104</v>
      </c>
    </row>
    <row r="12" spans="1:14" ht="30" x14ac:dyDescent="0.25">
      <c r="D12" s="17" t="s">
        <v>105</v>
      </c>
      <c r="E12" s="18">
        <f>IF($B$7="","",K29)</f>
        <v>187.06873163786472</v>
      </c>
      <c r="F12" s="18">
        <f>IF($B$8="","",L29)</f>
        <v>193.50920385503392</v>
      </c>
      <c r="G12" s="18">
        <f>IF($B$9="","",M29)</f>
        <v>199.69231982089133</v>
      </c>
      <c r="H12" s="18">
        <f>IF($B$10="","",N29)</f>
        <v>214.0390641572798</v>
      </c>
    </row>
    <row r="13" spans="1:14" x14ac:dyDescent="0.25">
      <c r="D13" s="17" t="s">
        <v>106</v>
      </c>
      <c r="E13" s="19">
        <f>IF($B$7="","",K29/$B$5)</f>
        <v>0.80982134908166548</v>
      </c>
      <c r="F13" s="19">
        <f>IF($B$8="","",L29/$B$5)</f>
        <v>0.83770218119062301</v>
      </c>
      <c r="G13" s="19">
        <f>IF($B$9="","",M29/$B$5)</f>
        <v>0.86446891697355555</v>
      </c>
      <c r="H13" s="19">
        <f>IF($B$10="","",N29/$B$5)</f>
        <v>0.92657603531289956</v>
      </c>
    </row>
    <row r="14" spans="1:14" ht="30" x14ac:dyDescent="0.25">
      <c r="D14" s="17" t="s">
        <v>107</v>
      </c>
      <c r="E14" s="18">
        <f>IF($B$7="","",K32)</f>
        <v>5.7677851729382494</v>
      </c>
      <c r="F14" s="18">
        <f>IF($B$8="","",L32)</f>
        <v>5.4308821903724072</v>
      </c>
      <c r="G14" s="18">
        <f>IF($B$9="","",M32)</f>
        <v>5.0604964510083557</v>
      </c>
      <c r="H14" s="18">
        <f>IF($B$10="","",N32)</f>
        <v>3.9331862321952249</v>
      </c>
    </row>
    <row r="17" spans="1:16" ht="30" x14ac:dyDescent="0.25">
      <c r="A17" s="3" t="s">
        <v>108</v>
      </c>
      <c r="B17" s="3" t="s">
        <v>109</v>
      </c>
      <c r="C17" s="3" t="s">
        <v>110</v>
      </c>
      <c r="D17" s="3" t="s">
        <v>111</v>
      </c>
      <c r="E17" s="3" t="s">
        <v>112</v>
      </c>
      <c r="F17" s="3" t="s">
        <v>113</v>
      </c>
      <c r="G17" s="3" t="s">
        <v>114</v>
      </c>
      <c r="H17" s="3" t="s">
        <v>115</v>
      </c>
      <c r="I17" s="3" t="s">
        <v>116</v>
      </c>
      <c r="J17" s="3" t="s">
        <v>117</v>
      </c>
      <c r="K17" s="3" t="s">
        <v>118</v>
      </c>
      <c r="L17" s="3" t="s">
        <v>119</v>
      </c>
      <c r="M17" s="3" t="s">
        <v>120</v>
      </c>
      <c r="N17" s="3" t="s">
        <v>121</v>
      </c>
    </row>
    <row r="18" spans="1:16" x14ac:dyDescent="0.25">
      <c r="A18" s="8" t="s">
        <v>63</v>
      </c>
      <c r="B18" s="7">
        <f>INDEX(AccuracyTable!$A$2:$A$31, MATCH($A18, AccuracyTable!$B$2:$B$31, 0))</f>
        <v>3785</v>
      </c>
      <c r="C18" s="20">
        <v>0.3</v>
      </c>
      <c r="D18" s="21">
        <f t="shared" ref="D18:D28" si="0">B18*C18</f>
        <v>1135.5</v>
      </c>
      <c r="E18" s="22">
        <f t="shared" ref="E18:E28" si="1">D18/SUM($D$18:$D$28)</f>
        <v>2.4074085852578822E-2</v>
      </c>
      <c r="F18" s="21">
        <f t="shared" ref="F18:F28" si="2">$B$5*E18</f>
        <v>5.5611138319457076</v>
      </c>
      <c r="G18" s="22">
        <f>IF($B$7="","",INDEX(AccuracyTable!$C$2:$AF$31, MATCH($A18, AccuracyTable!$B$2:$B$31, 0), MATCH($B$7, AccuracyTable!$C$1:$AF$1, 0)))</f>
        <v>0.95</v>
      </c>
      <c r="H18" s="22">
        <f>IF($B$8="","",INDEX(AccuracyTable!$C$2:$AF$31, MATCH($A18, AccuracyTable!$B$2:$B$31, 0), MATCH($B$8, AccuracyTable!$C$1:$AF$1, 0)))</f>
        <v>0.95</v>
      </c>
      <c r="I18" s="22">
        <f>IF($B$9="","",INDEX(AccuracyTable!$C$2:$AF$31, MATCH($A18, AccuracyTable!$B$2:$B$31, 0), MATCH($B$9, AccuracyTable!$C$1:$AF$1, 0)))</f>
        <v>0.95</v>
      </c>
      <c r="J18" s="22">
        <f>IF($B$10="","",INDEX(AccuracyTable!$C$2:$AF$31, MATCH($A18, AccuracyTable!$B$2:$B$31, 0), MATCH($B$10, AccuracyTable!$C$1:$AF$1, 0)))</f>
        <v>0.95</v>
      </c>
      <c r="K18" s="21">
        <f t="shared" ref="K18:K28" si="3">IF($B$7="","",F18*G18)</f>
        <v>5.2830581403484222</v>
      </c>
      <c r="L18" s="21">
        <f t="shared" ref="L18:L28" si="4">IF($B$8="","",F18*H18)</f>
        <v>5.2830581403484222</v>
      </c>
      <c r="M18" s="21">
        <f t="shared" ref="M18:M28" si="5">IF($B$9="","",F18*I18)</f>
        <v>5.2830581403484222</v>
      </c>
      <c r="N18" s="21">
        <f t="shared" ref="N18:N28" si="6">IF($B$10="","",F18*J18)</f>
        <v>5.2830581403484222</v>
      </c>
      <c r="P18" s="26">
        <f>I18-H18</f>
        <v>0</v>
      </c>
    </row>
    <row r="19" spans="1:16" x14ac:dyDescent="0.25">
      <c r="A19" s="8" t="s">
        <v>64</v>
      </c>
      <c r="B19" s="7">
        <f>INDEX(AccuracyTable!$A$2:$A$31, MATCH($A19, AccuracyTable!$B$2:$B$31, 0))</f>
        <v>4374</v>
      </c>
      <c r="C19" s="20">
        <v>0.4</v>
      </c>
      <c r="D19" s="21">
        <f t="shared" si="0"/>
        <v>1749.6000000000001</v>
      </c>
      <c r="E19" s="22">
        <f t="shared" si="1"/>
        <v>3.7093809429918016E-2</v>
      </c>
      <c r="F19" s="21">
        <f t="shared" si="2"/>
        <v>8.5686699783110623</v>
      </c>
      <c r="G19" s="22">
        <f>IF($B$7="","",INDEX(AccuracyTable!$C$2:$AF$31, MATCH($A19, AccuracyTable!$B$2:$B$31, 0), MATCH($B$7, AccuracyTable!$C$1:$AF$1, 0)))</f>
        <v>0.95</v>
      </c>
      <c r="H19" s="22">
        <f>IF($B$8="","",INDEX(AccuracyTable!$C$2:$AF$31, MATCH($A19, AccuracyTable!$B$2:$B$31, 0), MATCH($B$8, AccuracyTable!$C$1:$AF$1, 0)))</f>
        <v>0.95</v>
      </c>
      <c r="I19" s="22">
        <f>IF($B$9="","",INDEX(AccuracyTable!$C$2:$AF$31, MATCH($A19, AccuracyTable!$B$2:$B$31, 0), MATCH($B$9, AccuracyTable!$C$1:$AF$1, 0)))</f>
        <v>0.95</v>
      </c>
      <c r="J19" s="22">
        <f>IF($B$10="","",INDEX(AccuracyTable!$C$2:$AF$31, MATCH($A19, AccuracyTable!$B$2:$B$31, 0), MATCH($B$10, AccuracyTable!$C$1:$AF$1, 0)))</f>
        <v>0.95</v>
      </c>
      <c r="K19" s="21">
        <f t="shared" si="3"/>
        <v>8.140236479395508</v>
      </c>
      <c r="L19" s="21">
        <f t="shared" si="4"/>
        <v>8.140236479395508</v>
      </c>
      <c r="M19" s="21">
        <f t="shared" si="5"/>
        <v>8.140236479395508</v>
      </c>
      <c r="N19" s="21">
        <f t="shared" si="6"/>
        <v>8.140236479395508</v>
      </c>
      <c r="P19" s="26">
        <f t="shared" ref="P19:P28" si="7">I19-H19</f>
        <v>0</v>
      </c>
    </row>
    <row r="20" spans="1:16" x14ac:dyDescent="0.25">
      <c r="A20" s="8" t="s">
        <v>65</v>
      </c>
      <c r="B20" s="7">
        <f>INDEX(AccuracyTable!$A$2:$A$31, MATCH($A20, AccuracyTable!$B$2:$B$31, 0))</f>
        <v>4503</v>
      </c>
      <c r="C20" s="20">
        <v>0.5</v>
      </c>
      <c r="D20" s="21">
        <f t="shared" si="0"/>
        <v>2251.5</v>
      </c>
      <c r="E20" s="22">
        <f t="shared" si="1"/>
        <v>4.7734746188534752E-2</v>
      </c>
      <c r="F20" s="21">
        <f t="shared" si="2"/>
        <v>11.026726369551527</v>
      </c>
      <c r="G20" s="22">
        <f>IF($B$7="","",INDEX(AccuracyTable!$C$2:$AF$31, MATCH($A20, AccuracyTable!$B$2:$B$31, 0), MATCH($B$7, AccuracyTable!$C$1:$AF$1, 0)))</f>
        <v>0.94810000000000005</v>
      </c>
      <c r="H20" s="22">
        <f>IF($B$8="","",INDEX(AccuracyTable!$C$2:$AF$31, MATCH($A20, AccuracyTable!$B$2:$B$31, 0), MATCH($B$8, AccuracyTable!$C$1:$AF$1, 0)))</f>
        <v>0.94969999999999999</v>
      </c>
      <c r="I20" s="22">
        <f>IF($B$9="","",INDEX(AccuracyTable!$C$2:$AF$31, MATCH($A20, AccuracyTable!$B$2:$B$31, 0), MATCH($B$9, AccuracyTable!$C$1:$AF$1, 0)))</f>
        <v>0.95</v>
      </c>
      <c r="J20" s="22">
        <f>IF($B$10="","",INDEX(AccuracyTable!$C$2:$AF$31, MATCH($A20, AccuracyTable!$B$2:$B$31, 0), MATCH($B$10, AccuracyTable!$C$1:$AF$1, 0)))</f>
        <v>0.95</v>
      </c>
      <c r="K20" s="21">
        <f t="shared" si="3"/>
        <v>10.454439270971804</v>
      </c>
      <c r="L20" s="21">
        <f t="shared" si="4"/>
        <v>10.472082033163085</v>
      </c>
      <c r="M20" s="21">
        <f t="shared" si="5"/>
        <v>10.475390051073949</v>
      </c>
      <c r="N20" s="21">
        <f t="shared" si="6"/>
        <v>10.475390051073949</v>
      </c>
      <c r="P20" s="26">
        <f t="shared" si="7"/>
        <v>2.9999999999996696E-4</v>
      </c>
    </row>
    <row r="21" spans="1:16" x14ac:dyDescent="0.25">
      <c r="A21" s="8" t="s">
        <v>66</v>
      </c>
      <c r="B21" s="7">
        <f>INDEX(AccuracyTable!$A$2:$A$31, MATCH($A21, AccuracyTable!$B$2:$B$31, 0))</f>
        <v>4470</v>
      </c>
      <c r="C21" s="20">
        <v>0.9</v>
      </c>
      <c r="D21" s="21">
        <f t="shared" si="0"/>
        <v>4023</v>
      </c>
      <c r="E21" s="22">
        <f t="shared" si="1"/>
        <v>8.529286427558308E-2</v>
      </c>
      <c r="F21" s="21">
        <f t="shared" si="2"/>
        <v>19.702651647659692</v>
      </c>
      <c r="G21" s="22">
        <f>IF($B$7="","",INDEX(AccuracyTable!$C$2:$AF$31, MATCH($A21, AccuracyTable!$B$2:$B$31, 0), MATCH($B$7, AccuracyTable!$C$1:$AF$1, 0)))</f>
        <v>0.92659999999999998</v>
      </c>
      <c r="H21" s="22">
        <f>IF($B$8="","",INDEX(AccuracyTable!$C$2:$AF$31, MATCH($A21, AccuracyTable!$B$2:$B$31, 0), MATCH($B$8, AccuracyTable!$C$1:$AF$1, 0)))</f>
        <v>0.94069999999999998</v>
      </c>
      <c r="I21" s="22">
        <f>IF($B$9="","",INDEX(AccuracyTable!$C$2:$AF$31, MATCH($A21, AccuracyTable!$B$2:$B$31, 0), MATCH($B$9, AccuracyTable!$C$1:$AF$1, 0)))</f>
        <v>0.94739999999999991</v>
      </c>
      <c r="J21" s="22">
        <f>IF($B$10="","",INDEX(AccuracyTable!$C$2:$AF$31, MATCH($A21, AccuracyTable!$B$2:$B$31, 0), MATCH($B$10, AccuracyTable!$C$1:$AF$1, 0)))</f>
        <v>0.95</v>
      </c>
      <c r="K21" s="21">
        <f t="shared" si="3"/>
        <v>18.256477016721469</v>
      </c>
      <c r="L21" s="21">
        <f t="shared" si="4"/>
        <v>18.534284404953471</v>
      </c>
      <c r="M21" s="21">
        <f t="shared" si="5"/>
        <v>18.66629217099279</v>
      </c>
      <c r="N21" s="21">
        <f t="shared" si="6"/>
        <v>18.717519065276708</v>
      </c>
      <c r="P21" s="26">
        <f t="shared" si="7"/>
        <v>6.6999999999999282E-3</v>
      </c>
    </row>
    <row r="22" spans="1:16" x14ac:dyDescent="0.25">
      <c r="A22" s="8" t="s">
        <v>67</v>
      </c>
      <c r="B22" s="7">
        <f>INDEX(AccuracyTable!$A$2:$A$31, MATCH($A22, AccuracyTable!$B$2:$B$31, 0))</f>
        <v>4276</v>
      </c>
      <c r="C22" s="20">
        <v>1.7</v>
      </c>
      <c r="D22" s="21">
        <f t="shared" si="0"/>
        <v>7269.2</v>
      </c>
      <c r="E22" s="22">
        <f t="shared" si="1"/>
        <v>0.15411655207359398</v>
      </c>
      <c r="F22" s="21">
        <f t="shared" si="2"/>
        <v>35.600923529000212</v>
      </c>
      <c r="G22" s="22">
        <f>IF($B$7="","",INDEX(AccuracyTable!$C$2:$AF$31, MATCH($A22, AccuracyTable!$B$2:$B$31, 0), MATCH($B$7, AccuracyTable!$C$1:$AF$1, 0)))</f>
        <v>0.87739999999999996</v>
      </c>
      <c r="H22" s="22">
        <f>IF($B$8="","",INDEX(AccuracyTable!$C$2:$AF$31, MATCH($A22, AccuracyTable!$B$2:$B$31, 0), MATCH($B$8, AccuracyTable!$C$1:$AF$1, 0)))</f>
        <v>0.90700000000000003</v>
      </c>
      <c r="I22" s="22">
        <f>IF($B$9="","",INDEX(AccuracyTable!$C$2:$AF$31, MATCH($A22, AccuracyTable!$B$2:$B$31, 0), MATCH($B$9, AccuracyTable!$C$1:$AF$1, 0)))</f>
        <v>0.92930000000000001</v>
      </c>
      <c r="J22" s="22">
        <f>IF($B$10="","",INDEX(AccuracyTable!$C$2:$AF$31, MATCH($A22, AccuracyTable!$B$2:$B$31, 0), MATCH($B$10, AccuracyTable!$C$1:$AF$1, 0)))</f>
        <v>0.94969999999999999</v>
      </c>
      <c r="K22" s="21">
        <f t="shared" si="3"/>
        <v>31.236250304344786</v>
      </c>
      <c r="L22" s="21">
        <f t="shared" si="4"/>
        <v>32.290037640803192</v>
      </c>
      <c r="M22" s="21">
        <f t="shared" si="5"/>
        <v>33.0839382354999</v>
      </c>
      <c r="N22" s="21">
        <f t="shared" si="6"/>
        <v>33.810197075491502</v>
      </c>
      <c r="P22" s="26">
        <f t="shared" si="7"/>
        <v>2.2299999999999986E-2</v>
      </c>
    </row>
    <row r="23" spans="1:16" x14ac:dyDescent="0.25">
      <c r="A23" s="8" t="s">
        <v>68</v>
      </c>
      <c r="B23" s="7">
        <f>INDEX(AccuracyTable!$A$2:$A$31, MATCH($A23, AccuracyTable!$B$2:$B$31, 0))</f>
        <v>4380</v>
      </c>
      <c r="C23" s="20">
        <v>2</v>
      </c>
      <c r="D23" s="21">
        <f t="shared" si="0"/>
        <v>8760</v>
      </c>
      <c r="E23" s="22">
        <f t="shared" si="1"/>
        <v>0.18572346285212724</v>
      </c>
      <c r="F23" s="21">
        <f t="shared" si="2"/>
        <v>42.902119918841393</v>
      </c>
      <c r="G23" s="22">
        <f>IF($B$7="","",INDEX(AccuracyTable!$C$2:$AF$31, MATCH($A23, AccuracyTable!$B$2:$B$31, 0), MATCH($B$7, AccuracyTable!$C$1:$AF$1, 0)))</f>
        <v>0.82030000000000003</v>
      </c>
      <c r="H23" s="22">
        <f>IF($B$8="","",INDEX(AccuracyTable!$C$2:$AF$31, MATCH($A23, AccuracyTable!$B$2:$B$31, 0), MATCH($B$8, AccuracyTable!$C$1:$AF$1, 0)))</f>
        <v>0.85609999999999997</v>
      </c>
      <c r="I23" s="22">
        <f>IF($B$9="","",INDEX(AccuracyTable!$C$2:$AF$31, MATCH($A23, AccuracyTable!$B$2:$B$31, 0), MATCH($B$9, AccuracyTable!$C$1:$AF$1, 0)))</f>
        <v>0.88969999999999994</v>
      </c>
      <c r="J23" s="22">
        <f>IF($B$10="","",INDEX(AccuracyTable!$C$2:$AF$31, MATCH($A23, AccuracyTable!$B$2:$B$31, 0), MATCH($B$10, AccuracyTable!$C$1:$AF$1, 0)))</f>
        <v>0.94579999999999997</v>
      </c>
      <c r="K23" s="21">
        <f t="shared" si="3"/>
        <v>35.192608969425599</v>
      </c>
      <c r="L23" s="21">
        <f t="shared" si="4"/>
        <v>36.728504862520118</v>
      </c>
      <c r="M23" s="21">
        <f t="shared" si="5"/>
        <v>38.170016091793187</v>
      </c>
      <c r="N23" s="21">
        <f t="shared" si="6"/>
        <v>40.576825019240189</v>
      </c>
      <c r="P23" s="26">
        <f t="shared" si="7"/>
        <v>3.3599999999999963E-2</v>
      </c>
    </row>
    <row r="24" spans="1:16" x14ac:dyDescent="0.25">
      <c r="A24" s="8" t="s">
        <v>69</v>
      </c>
      <c r="B24" s="7">
        <f>INDEX(AccuracyTable!$A$2:$A$31, MATCH($A24, AccuracyTable!$B$2:$B$31, 0))</f>
        <v>4674</v>
      </c>
      <c r="C24" s="20">
        <v>2.2000000000000002</v>
      </c>
      <c r="D24" s="21">
        <f t="shared" si="0"/>
        <v>10282.800000000001</v>
      </c>
      <c r="E24" s="22">
        <f t="shared" si="1"/>
        <v>0.21800881550409293</v>
      </c>
      <c r="F24" s="21">
        <f t="shared" si="2"/>
        <v>50.360036381445468</v>
      </c>
      <c r="G24" s="22">
        <f>IF($B$7="","",INDEX(AccuracyTable!$C$2:$AF$31, MATCH($A24, AccuracyTable!$B$2:$B$31, 0), MATCH($B$7, AccuracyTable!$C$1:$AF$1, 0)))</f>
        <v>0.7802</v>
      </c>
      <c r="H24" s="22">
        <f>IF($B$8="","",INDEX(AccuracyTable!$C$2:$AF$31, MATCH($A24, AccuracyTable!$B$2:$B$31, 0), MATCH($B$8, AccuracyTable!$C$1:$AF$1, 0)))</f>
        <v>0.81370000000000009</v>
      </c>
      <c r="I24" s="22">
        <f>IF($B$9="","",INDEX(AccuracyTable!$C$2:$AF$31, MATCH($A24, AccuracyTable!$B$2:$B$31, 0), MATCH($B$9, AccuracyTable!$C$1:$AF$1, 0)))</f>
        <v>0.84799999999999998</v>
      </c>
      <c r="J24" s="22">
        <f>IF($B$10="","",INDEX(AccuracyTable!$C$2:$AF$31, MATCH($A24, AccuracyTable!$B$2:$B$31, 0), MATCH($B$10, AccuracyTable!$C$1:$AF$1, 0)))</f>
        <v>0.93120000000000003</v>
      </c>
      <c r="K24" s="21">
        <f t="shared" si="3"/>
        <v>39.290900384803756</v>
      </c>
      <c r="L24" s="21">
        <f t="shared" si="4"/>
        <v>40.97796160358218</v>
      </c>
      <c r="M24" s="21">
        <f t="shared" si="5"/>
        <v>42.705310851465754</v>
      </c>
      <c r="N24" s="21">
        <f t="shared" si="6"/>
        <v>46.895265878402022</v>
      </c>
      <c r="P24" s="26">
        <f t="shared" si="7"/>
        <v>3.4299999999999886E-2</v>
      </c>
    </row>
    <row r="25" spans="1:16" x14ac:dyDescent="0.25">
      <c r="A25" s="8" t="s">
        <v>70</v>
      </c>
      <c r="B25" s="7">
        <f>INDEX(AccuracyTable!$A$2:$A$31, MATCH($A25, AccuracyTable!$B$2:$B$31, 0))</f>
        <v>5269</v>
      </c>
      <c r="C25" s="20">
        <v>2</v>
      </c>
      <c r="D25" s="21">
        <f t="shared" si="0"/>
        <v>10538</v>
      </c>
      <c r="E25" s="22">
        <f t="shared" si="1"/>
        <v>0.22341938944471651</v>
      </c>
      <c r="F25" s="21">
        <f t="shared" si="2"/>
        <v>51.609878961729514</v>
      </c>
      <c r="G25" s="22">
        <f>IF($B$7="","",INDEX(AccuracyTable!$C$2:$AF$31, MATCH($A25, AccuracyTable!$B$2:$B$31, 0), MATCH($B$7, AccuracyTable!$C$1:$AF$1, 0)))</f>
        <v>0.65549999999999997</v>
      </c>
      <c r="H25" s="22">
        <f>IF($B$8="","",INDEX(AccuracyTable!$C$2:$AF$31, MATCH($A25, AccuracyTable!$B$2:$B$31, 0), MATCH($B$8, AccuracyTable!$C$1:$AF$1, 0)))</f>
        <v>0.69169999999999998</v>
      </c>
      <c r="I25" s="22">
        <f>IF($B$9="","",INDEX(AccuracyTable!$C$2:$AF$31, MATCH($A25, AccuracyTable!$B$2:$B$31, 0), MATCH($B$9, AccuracyTable!$C$1:$AF$1, 0)))</f>
        <v>0.73209999999999997</v>
      </c>
      <c r="J25" s="22">
        <f>IF($B$10="","",INDEX(AccuracyTable!$C$2:$AF$31, MATCH($A25, AccuracyTable!$B$2:$B$31, 0), MATCH($B$10, AccuracyTable!$C$1:$AF$1, 0)))</f>
        <v>0.86719999999999997</v>
      </c>
      <c r="K25" s="21">
        <f t="shared" si="3"/>
        <v>33.830275659413694</v>
      </c>
      <c r="L25" s="21">
        <f t="shared" si="4"/>
        <v>35.698553277828303</v>
      </c>
      <c r="M25" s="21">
        <f t="shared" si="5"/>
        <v>37.783592387882173</v>
      </c>
      <c r="N25" s="21">
        <f t="shared" si="6"/>
        <v>44.756087035611834</v>
      </c>
      <c r="P25" s="26">
        <f t="shared" si="7"/>
        <v>4.0399999999999991E-2</v>
      </c>
    </row>
    <row r="26" spans="1:16" x14ac:dyDescent="0.25">
      <c r="A26" s="8" t="s">
        <v>82</v>
      </c>
      <c r="B26" s="7">
        <f>INDEX(AccuracyTable!$A$2:$A$31, MATCH($A26, AccuracyTable!$B$2:$B$31, 0))</f>
        <v>2072</v>
      </c>
      <c r="C26" s="20">
        <v>0</v>
      </c>
      <c r="D26" s="21">
        <f t="shared" si="0"/>
        <v>0</v>
      </c>
      <c r="E26" s="22">
        <f t="shared" si="1"/>
        <v>0</v>
      </c>
      <c r="F26" s="21">
        <f t="shared" si="2"/>
        <v>0</v>
      </c>
      <c r="G26" s="22">
        <f>IF($B$7="","",INDEX(AccuracyTable!$C$2:$AF$31, MATCH($A26, AccuracyTable!$B$2:$B$31, 0), MATCH($B$7, AccuracyTable!$C$1:$AF$1, 0)))</f>
        <v>0.95</v>
      </c>
      <c r="H26" s="22">
        <f>IF($B$8="","",INDEX(AccuracyTable!$C$2:$AF$31, MATCH($A26, AccuracyTable!$B$2:$B$31, 0), MATCH($B$8, AccuracyTable!$C$1:$AF$1, 0)))</f>
        <v>0.95</v>
      </c>
      <c r="I26" s="22">
        <f>IF($B$9="","",INDEX(AccuracyTable!$C$2:$AF$31, MATCH($A26, AccuracyTable!$B$2:$B$31, 0), MATCH($B$9, AccuracyTable!$C$1:$AF$1, 0)))</f>
        <v>0.95</v>
      </c>
      <c r="J26" s="22">
        <f>IF($B$10="","",INDEX(AccuracyTable!$C$2:$AF$31, MATCH($A26, AccuracyTable!$B$2:$B$31, 0), MATCH($B$10, AccuracyTable!$C$1:$AF$1, 0)))</f>
        <v>0.95</v>
      </c>
      <c r="K26" s="21">
        <f t="shared" si="3"/>
        <v>0</v>
      </c>
      <c r="L26" s="21">
        <f t="shared" si="4"/>
        <v>0</v>
      </c>
      <c r="M26" s="21">
        <f t="shared" si="5"/>
        <v>0</v>
      </c>
      <c r="N26" s="21">
        <f t="shared" si="6"/>
        <v>0</v>
      </c>
      <c r="P26" s="26">
        <f t="shared" si="7"/>
        <v>0</v>
      </c>
    </row>
    <row r="27" spans="1:16" x14ac:dyDescent="0.25">
      <c r="A27" s="8" t="s">
        <v>83</v>
      </c>
      <c r="B27" s="7">
        <f>INDEX(AccuracyTable!$A$2:$A$31, MATCH($A27, AccuracyTable!$B$2:$B$31, 0))</f>
        <v>2433</v>
      </c>
      <c r="C27" s="20">
        <v>0.3</v>
      </c>
      <c r="D27" s="21">
        <f t="shared" si="0"/>
        <v>729.9</v>
      </c>
      <c r="E27" s="22">
        <f t="shared" si="1"/>
        <v>1.5474835106822793E-2</v>
      </c>
      <c r="F27" s="21">
        <f t="shared" si="2"/>
        <v>3.5746869096760649</v>
      </c>
      <c r="G27" s="22">
        <f>IF($B$7="","",INDEX(AccuracyTable!$C$2:$AF$31, MATCH($A27, AccuracyTable!$B$2:$B$31, 0), MATCH($B$7, AccuracyTable!$C$1:$AF$1, 0)))</f>
        <v>0.95</v>
      </c>
      <c r="H27" s="22">
        <f>IF($B$8="","",INDEX(AccuracyTable!$C$2:$AF$31, MATCH($A27, AccuracyTable!$B$2:$B$31, 0), MATCH($B$8, AccuracyTable!$C$1:$AF$1, 0)))</f>
        <v>0.95</v>
      </c>
      <c r="I27" s="22">
        <f>IF($B$9="","",INDEX(AccuracyTable!$C$2:$AF$31, MATCH($A27, AccuracyTable!$B$2:$B$31, 0), MATCH($B$9, AccuracyTable!$C$1:$AF$1, 0)))</f>
        <v>0.95</v>
      </c>
      <c r="J27" s="22">
        <f>IF($B$10="","",INDEX(AccuracyTable!$C$2:$AF$31, MATCH($A27, AccuracyTable!$B$2:$B$31, 0), MATCH($B$10, AccuracyTable!$C$1:$AF$1, 0)))</f>
        <v>0.95</v>
      </c>
      <c r="K27" s="21">
        <f t="shared" si="3"/>
        <v>3.3959525641922617</v>
      </c>
      <c r="L27" s="21">
        <f t="shared" si="4"/>
        <v>3.3959525641922617</v>
      </c>
      <c r="M27" s="21">
        <f t="shared" si="5"/>
        <v>3.3959525641922617</v>
      </c>
      <c r="N27" s="21">
        <f t="shared" si="6"/>
        <v>3.3959525641922617</v>
      </c>
      <c r="P27" s="26">
        <f t="shared" si="7"/>
        <v>0</v>
      </c>
    </row>
    <row r="28" spans="1:16" x14ac:dyDescent="0.25">
      <c r="A28" s="8" t="s">
        <v>84</v>
      </c>
      <c r="B28" s="7">
        <f>INDEX(AccuracyTable!$A$2:$A$31, MATCH($A28, AccuracyTable!$B$2:$B$31, 0))</f>
        <v>2137</v>
      </c>
      <c r="C28" s="20">
        <v>0.2</v>
      </c>
      <c r="D28" s="21">
        <f t="shared" si="0"/>
        <v>427.40000000000003</v>
      </c>
      <c r="E28" s="22">
        <f t="shared" si="1"/>
        <v>9.0614392720318702E-3</v>
      </c>
      <c r="F28" s="21">
        <f t="shared" si="2"/>
        <v>2.093192471839362</v>
      </c>
      <c r="G28" s="22">
        <f>IF($B$7="","",INDEX(AccuracyTable!$C$2:$AF$31, MATCH($A28, AccuracyTable!$B$2:$B$31, 0), MATCH($B$7, AccuracyTable!$C$1:$AF$1, 0)))</f>
        <v>0.95</v>
      </c>
      <c r="H28" s="22">
        <f>IF($B$8="","",INDEX(AccuracyTable!$C$2:$AF$31, MATCH($A28, AccuracyTable!$B$2:$B$31, 0), MATCH($B$8, AccuracyTable!$C$1:$AF$1, 0)))</f>
        <v>0.95</v>
      </c>
      <c r="I28" s="22">
        <f>IF($B$9="","",INDEX(AccuracyTable!$C$2:$AF$31, MATCH($A28, AccuracyTable!$B$2:$B$31, 0), MATCH($B$9, AccuracyTable!$C$1:$AF$1, 0)))</f>
        <v>0.95</v>
      </c>
      <c r="J28" s="22">
        <f>IF($B$10="","",INDEX(AccuracyTable!$C$2:$AF$31, MATCH($A28, AccuracyTable!$B$2:$B$31, 0), MATCH($B$10, AccuracyTable!$C$1:$AF$1, 0)))</f>
        <v>0.95</v>
      </c>
      <c r="K28" s="21">
        <f t="shared" si="3"/>
        <v>1.9885328482473938</v>
      </c>
      <c r="L28" s="21">
        <f t="shared" si="4"/>
        <v>1.9885328482473938</v>
      </c>
      <c r="M28" s="21">
        <f t="shared" si="5"/>
        <v>1.9885328482473938</v>
      </c>
      <c r="N28" s="21">
        <f t="shared" si="6"/>
        <v>1.9885328482473938</v>
      </c>
      <c r="P28" s="26">
        <f t="shared" si="7"/>
        <v>0</v>
      </c>
    </row>
    <row r="29" spans="1:16" x14ac:dyDescent="0.25">
      <c r="A29" s="23" t="s">
        <v>122</v>
      </c>
      <c r="D29" s="24">
        <f>SUM($D$18:$D$28)</f>
        <v>47166.9</v>
      </c>
      <c r="E29" s="25">
        <f>SUM($E$18:$E$28)</f>
        <v>1</v>
      </c>
      <c r="F29" s="24">
        <f>SUM($F$18:$F$28)</f>
        <v>231</v>
      </c>
      <c r="K29" s="24">
        <f>SUM($K$18:$K$28)</f>
        <v>187.06873163786472</v>
      </c>
      <c r="L29" s="24">
        <f>SUM($L$18:$L$28)</f>
        <v>193.50920385503392</v>
      </c>
      <c r="M29" s="24">
        <f>SUM($M$18:$M$28)</f>
        <v>199.69231982089133</v>
      </c>
      <c r="N29" s="24">
        <f>SUM($N$18:$N$28)</f>
        <v>214.0390641572798</v>
      </c>
    </row>
    <row r="31" spans="1:16" ht="30" x14ac:dyDescent="0.25">
      <c r="A31" s="17" t="s">
        <v>123</v>
      </c>
      <c r="K31" s="21">
        <f>IF($B$7="","",SUMPRODUCT($F$18:$F$28,$G$18:$G$28,(1-$G$18:$G$28)))</f>
        <v>33.267345801166307</v>
      </c>
      <c r="L31" s="21">
        <f>IF($B$8="","",SUMPRODUCT($F$18:$F$28,$H$18:$H$28,(1-$H$18:$H$28)))</f>
        <v>29.494481365704193</v>
      </c>
      <c r="M31" s="21">
        <f>IF($B$9="","",SUMPRODUCT($F$18:$F$28,$I$18:$I$28,(1-$I$18:$I$28)))</f>
        <v>25.608624330668167</v>
      </c>
      <c r="N31" s="21">
        <f>IF($B$10="","",SUMPRODUCT($F$18:$F$28,$J$18:$J$28,(1-$J$18:$J$28)))</f>
        <v>15.469953937130068</v>
      </c>
    </row>
    <row r="32" spans="1:16" ht="30" x14ac:dyDescent="0.25">
      <c r="A32" s="17" t="s">
        <v>124</v>
      </c>
      <c r="K32" s="21">
        <f>IF($B$7="","",SQRT(K31))</f>
        <v>5.7677851729382494</v>
      </c>
      <c r="L32" s="21">
        <f>IF($B$8="","",SQRT(L31))</f>
        <v>5.4308821903724072</v>
      </c>
      <c r="M32" s="21">
        <f>IF($B$9="","",SQRT(M31))</f>
        <v>5.0604964510083557</v>
      </c>
      <c r="N32" s="21">
        <f>IF($B$10="","",SQRT(N31))</f>
        <v>3.9331862321952249</v>
      </c>
    </row>
  </sheetData>
  <mergeCells count="4">
    <mergeCell ref="A3:C3"/>
    <mergeCell ref="D3:N3"/>
    <mergeCell ref="A6:C6"/>
    <mergeCell ref="A1:N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P32"/>
  <sheetViews>
    <sheetView showGridLines="0" tabSelected="1" zoomScale="145" zoomScaleNormal="145" workbookViewId="0">
      <selection activeCell="H15" sqref="H15"/>
    </sheetView>
  </sheetViews>
  <sheetFormatPr defaultRowHeight="15" x14ac:dyDescent="0.25"/>
  <cols>
    <col min="1" max="1" width="10" customWidth="1"/>
    <col min="2" max="2" width="8" customWidth="1"/>
    <col min="3" max="5" width="12" customWidth="1"/>
    <col min="6" max="6" width="13" customWidth="1"/>
    <col min="7" max="10" width="12" customWidth="1"/>
    <col min="11" max="14" width="14" customWidth="1"/>
  </cols>
  <sheetData>
    <row r="1" spans="1:14" x14ac:dyDescent="0.25">
      <c r="A1" s="32" t="s">
        <v>138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</row>
    <row r="3" spans="1:14" x14ac:dyDescent="0.25">
      <c r="A3" s="27" t="s">
        <v>86</v>
      </c>
      <c r="B3" s="28"/>
      <c r="C3" s="28"/>
      <c r="D3" s="27" t="s">
        <v>87</v>
      </c>
      <c r="E3" s="28"/>
      <c r="F3" s="28"/>
      <c r="G3" s="28"/>
      <c r="H3" s="28"/>
      <c r="I3" s="28"/>
      <c r="J3" s="28"/>
      <c r="K3" s="28"/>
      <c r="L3" s="28"/>
      <c r="M3" s="28"/>
      <c r="N3" s="28"/>
    </row>
    <row r="4" spans="1:14" ht="75" x14ac:dyDescent="0.25">
      <c r="A4" t="s">
        <v>88</v>
      </c>
      <c r="B4" s="10">
        <v>15</v>
      </c>
      <c r="D4" s="1" t="s">
        <v>89</v>
      </c>
      <c r="E4" s="11">
        <f>M29</f>
        <v>199.17213344401176</v>
      </c>
    </row>
    <row r="5" spans="1:14" ht="60" x14ac:dyDescent="0.25">
      <c r="A5" t="s">
        <v>90</v>
      </c>
      <c r="B5" s="12">
        <v>210</v>
      </c>
      <c r="D5" s="1" t="s">
        <v>91</v>
      </c>
      <c r="E5" s="13">
        <f>ROUNDUP($E$4,0)</f>
        <v>200</v>
      </c>
    </row>
    <row r="6" spans="1:14" x14ac:dyDescent="0.25">
      <c r="A6" s="31" t="s">
        <v>92</v>
      </c>
      <c r="B6" s="28"/>
      <c r="C6" s="28"/>
    </row>
    <row r="7" spans="1:14" ht="30" x14ac:dyDescent="0.25">
      <c r="A7" t="s">
        <v>93</v>
      </c>
      <c r="B7" s="14">
        <f>IF(OR($B$4-1&lt;0.5,$B$4-1&gt;15),"",$B$4-1)</f>
        <v>14</v>
      </c>
      <c r="D7" s="1" t="s">
        <v>94</v>
      </c>
      <c r="E7" s="15">
        <f>IF($B$7="",-1,IF(K32=0,IF(K29&gt;=$E$5,1,0),1-_xlfn.NORM.DIST($E$5-0.5,K29,K32,TRUE)))</f>
        <v>2.6831888469858178E-5</v>
      </c>
    </row>
    <row r="8" spans="1:14" ht="45" x14ac:dyDescent="0.25">
      <c r="A8" t="s">
        <v>95</v>
      </c>
      <c r="B8" s="14">
        <f>IF(OR($B$4-0.5&lt;0.5,$B$4-0.5&gt;15),"",$B$4-0.5)</f>
        <v>14.5</v>
      </c>
      <c r="D8" s="1" t="s">
        <v>96</v>
      </c>
      <c r="E8" s="15">
        <f>IF($B$8="",-1,IF(L32=0,IF(L29&gt;=$E$5,1,0),1-_xlfn.NORM.DIST($E$5-0.5,L29,L32,TRUE)))</f>
        <v>6.3507099549059531E-2</v>
      </c>
    </row>
    <row r="9" spans="1:14" ht="30" x14ac:dyDescent="0.25">
      <c r="A9" t="s">
        <v>97</v>
      </c>
      <c r="B9" s="14">
        <f>$B$4</f>
        <v>15</v>
      </c>
      <c r="D9" s="1" t="s">
        <v>98</v>
      </c>
      <c r="E9" s="15">
        <f>IF($B$9="",-1,IF(M32=0,IF(M29&gt;=$E$5,1,0),1-_xlfn.NORM.DIST($E$5-0.5,M29,M32,TRUE)))</f>
        <v>0.45925263689046325</v>
      </c>
    </row>
    <row r="10" spans="1:14" ht="45" x14ac:dyDescent="0.25">
      <c r="A10" t="s">
        <v>99</v>
      </c>
      <c r="B10" s="14" t="str">
        <f>IF(OR($B$4+0.5&lt;0.5,$B$4+0.5&gt;15),"",$B$4+0.5)</f>
        <v/>
      </c>
      <c r="D10" s="1" t="s">
        <v>100</v>
      </c>
      <c r="E10" s="15">
        <f>IF($B$10="",-1,IF(N32=0,IF(N29&gt;=$E$5,1,0),1-_xludf.NORM.DIST($E$5-0.5,N29,N32,TRUE)))</f>
        <v>-1</v>
      </c>
    </row>
    <row r="11" spans="1:14" x14ac:dyDescent="0.25">
      <c r="E11" s="16" t="s">
        <v>101</v>
      </c>
      <c r="F11" s="16" t="s">
        <v>102</v>
      </c>
      <c r="G11" s="16" t="s">
        <v>103</v>
      </c>
      <c r="H11" s="16" t="s">
        <v>104</v>
      </c>
    </row>
    <row r="12" spans="1:14" ht="30" x14ac:dyDescent="0.25">
      <c r="D12" s="17" t="s">
        <v>105</v>
      </c>
      <c r="E12" s="18">
        <f>IF($B$7="","",K29)</f>
        <v>179.46585796684457</v>
      </c>
      <c r="F12" s="18">
        <f>IF($B$8="","",L29)</f>
        <v>193.6204515466064</v>
      </c>
      <c r="G12" s="18">
        <f>IF($B$9="","",M29)</f>
        <v>199.17213344401176</v>
      </c>
      <c r="H12" s="18" t="str">
        <f>IF($B$10="","",N29)</f>
        <v/>
      </c>
    </row>
    <row r="13" spans="1:14" x14ac:dyDescent="0.25">
      <c r="D13" s="17" t="s">
        <v>106</v>
      </c>
      <c r="E13" s="19">
        <f>IF($B$7="","",K29/$B$5)</f>
        <v>0.85459932365164082</v>
      </c>
      <c r="F13" s="19">
        <f>IF($B$8="","",L29/$B$5)</f>
        <v>0.92200215022193521</v>
      </c>
      <c r="G13" s="19">
        <f>IF($B$9="","",M29/$B$5)</f>
        <v>0.94843873068577034</v>
      </c>
      <c r="H13" s="19" t="str">
        <f>IF($B$10="","",N29/$B$5)</f>
        <v/>
      </c>
    </row>
    <row r="14" spans="1:14" ht="30" x14ac:dyDescent="0.25">
      <c r="D14" s="17" t="s">
        <v>107</v>
      </c>
      <c r="E14" s="18">
        <f>IF($B$7="","",K32)</f>
        <v>4.9600890701992455</v>
      </c>
      <c r="F14" s="18">
        <f>IF($B$8="","",L32)</f>
        <v>3.8529590520206622</v>
      </c>
      <c r="G14" s="18">
        <f>IF($B$9="","",M32)</f>
        <v>3.2044275213281406</v>
      </c>
      <c r="H14" s="18" t="str">
        <f>IF($B$10="","",N32)</f>
        <v/>
      </c>
    </row>
    <row r="17" spans="1:16" ht="30" x14ac:dyDescent="0.25">
      <c r="A17" s="3" t="s">
        <v>108</v>
      </c>
      <c r="B17" s="3" t="s">
        <v>109</v>
      </c>
      <c r="C17" s="3" t="s">
        <v>110</v>
      </c>
      <c r="D17" s="3" t="s">
        <v>111</v>
      </c>
      <c r="E17" s="3" t="s">
        <v>112</v>
      </c>
      <c r="F17" s="3" t="s">
        <v>113</v>
      </c>
      <c r="G17" s="3" t="s">
        <v>114</v>
      </c>
      <c r="H17" s="3" t="s">
        <v>115</v>
      </c>
      <c r="I17" s="3" t="s">
        <v>116</v>
      </c>
      <c r="J17" s="3" t="s">
        <v>117</v>
      </c>
      <c r="K17" s="3" t="s">
        <v>118</v>
      </c>
      <c r="L17" s="3" t="s">
        <v>119</v>
      </c>
      <c r="M17" s="3" t="s">
        <v>120</v>
      </c>
      <c r="N17" s="3" t="s">
        <v>121</v>
      </c>
    </row>
    <row r="18" spans="1:16" x14ac:dyDescent="0.25">
      <c r="A18" s="8" t="s">
        <v>63</v>
      </c>
      <c r="B18" s="7">
        <f>INDEX(AccuracyTable!$A$2:$A$31, MATCH($A18, AccuracyTable!$B$2:$B$31, 0))</f>
        <v>3785</v>
      </c>
      <c r="C18" s="20">
        <v>0.2</v>
      </c>
      <c r="D18" s="21">
        <f t="shared" ref="D18:D28" si="0">B18*C18</f>
        <v>757</v>
      </c>
      <c r="E18" s="22">
        <f t="shared" ref="E18:E28" si="1">D18/SUM($D$18:$D$28)</f>
        <v>2.0205039782842535E-2</v>
      </c>
      <c r="F18" s="21">
        <f t="shared" ref="F18:F28" si="2">$B$5*E18</f>
        <v>4.2430583543969327</v>
      </c>
      <c r="G18" s="22">
        <f>IF($B$7="","",INDEX(AccuracyTable!$C$2:$AF$31, MATCH($A18, AccuracyTable!$B$2:$B$31, 0), MATCH($B$7, AccuracyTable!$C$1:$AF$1, 0)))</f>
        <v>0.95</v>
      </c>
      <c r="H18" s="22">
        <f>IF($B$8="","",INDEX(AccuracyTable!$C$2:$AF$31, MATCH($A18, AccuracyTable!$B$2:$B$31, 0), MATCH($B$8, AccuracyTable!$C$1:$AF$1, 0)))</f>
        <v>0.95</v>
      </c>
      <c r="I18" s="22">
        <f>IF($B$9="","",INDEX(AccuracyTable!$C$2:$AF$31, MATCH($A18, AccuracyTable!$B$2:$B$31, 0), MATCH($B$9, AccuracyTable!$C$1:$AF$1, 0)))</f>
        <v>0.95</v>
      </c>
      <c r="J18" s="22" t="str">
        <f>IF($B$10="","",INDEX(AccuracyTable!$C$2:$AF$31, MATCH($A18, AccuracyTable!$B$2:$B$31, 0), MATCH($B$10, AccuracyTable!$C$1:$AF$1, 0)))</f>
        <v/>
      </c>
      <c r="K18" s="21">
        <f t="shared" ref="K18:K28" si="3">IF($B$7="","",F18*G18)</f>
        <v>4.0309054366770862</v>
      </c>
      <c r="L18" s="21">
        <f t="shared" ref="L18:L28" si="4">IF($B$8="","",F18*H18)</f>
        <v>4.0309054366770862</v>
      </c>
      <c r="M18" s="21">
        <f t="shared" ref="M18:M28" si="5">IF($B$9="","",F18*I18)</f>
        <v>4.0309054366770862</v>
      </c>
      <c r="N18" s="21" t="str">
        <f t="shared" ref="N18:N28" si="6">IF($B$10="","",F18*J18)</f>
        <v/>
      </c>
      <c r="P18" s="26">
        <f>I18-H18</f>
        <v>0</v>
      </c>
    </row>
    <row r="19" spans="1:16" x14ac:dyDescent="0.25">
      <c r="A19" s="8" t="s">
        <v>64</v>
      </c>
      <c r="B19" s="7">
        <f>INDEX(AccuracyTable!$A$2:$A$31, MATCH($A19, AccuracyTable!$B$2:$B$31, 0))</f>
        <v>4374</v>
      </c>
      <c r="C19" s="20">
        <v>0.3</v>
      </c>
      <c r="D19" s="21">
        <f t="shared" si="0"/>
        <v>1312.2</v>
      </c>
      <c r="E19" s="22">
        <f t="shared" si="1"/>
        <v>3.502384835276879E-2</v>
      </c>
      <c r="F19" s="21">
        <f t="shared" si="2"/>
        <v>7.355008154081446</v>
      </c>
      <c r="G19" s="22">
        <f>IF($B$7="","",INDEX(AccuracyTable!$C$2:$AF$31, MATCH($A19, AccuracyTable!$B$2:$B$31, 0), MATCH($B$7, AccuracyTable!$C$1:$AF$1, 0)))</f>
        <v>0.95</v>
      </c>
      <c r="H19" s="22">
        <f>IF($B$8="","",INDEX(AccuracyTable!$C$2:$AF$31, MATCH($A19, AccuracyTable!$B$2:$B$31, 0), MATCH($B$8, AccuracyTable!$C$1:$AF$1, 0)))</f>
        <v>0.95</v>
      </c>
      <c r="I19" s="22">
        <f>IF($B$9="","",INDEX(AccuracyTable!$C$2:$AF$31, MATCH($A19, AccuracyTable!$B$2:$B$31, 0), MATCH($B$9, AccuracyTable!$C$1:$AF$1, 0)))</f>
        <v>0.95</v>
      </c>
      <c r="J19" s="22" t="str">
        <f>IF($B$10="","",INDEX(AccuracyTable!$C$2:$AF$31, MATCH($A19, AccuracyTable!$B$2:$B$31, 0), MATCH($B$10, AccuracyTable!$C$1:$AF$1, 0)))</f>
        <v/>
      </c>
      <c r="K19" s="21">
        <f t="shared" si="3"/>
        <v>6.9872577463773737</v>
      </c>
      <c r="L19" s="21">
        <f t="shared" si="4"/>
        <v>6.9872577463773737</v>
      </c>
      <c r="M19" s="21">
        <f t="shared" si="5"/>
        <v>6.9872577463773737</v>
      </c>
      <c r="N19" s="21" t="str">
        <f t="shared" si="6"/>
        <v/>
      </c>
      <c r="P19" s="26">
        <f t="shared" ref="P19:P28" si="7">I19-H19</f>
        <v>0</v>
      </c>
    </row>
    <row r="20" spans="1:16" x14ac:dyDescent="0.25">
      <c r="A20" s="8" t="s">
        <v>65</v>
      </c>
      <c r="B20" s="7">
        <f>INDEX(AccuracyTable!$A$2:$A$31, MATCH($A20, AccuracyTable!$B$2:$B$31, 0))</f>
        <v>4503</v>
      </c>
      <c r="C20" s="20">
        <v>0.4</v>
      </c>
      <c r="D20" s="21">
        <f t="shared" si="0"/>
        <v>1801.2</v>
      </c>
      <c r="E20" s="22">
        <f t="shared" si="1"/>
        <v>4.8075716851857297E-2</v>
      </c>
      <c r="F20" s="21">
        <f t="shared" si="2"/>
        <v>10.095900538890032</v>
      </c>
      <c r="G20" s="22">
        <f>IF($B$7="","",INDEX(AccuracyTable!$C$2:$AF$31, MATCH($A20, AccuracyTable!$B$2:$B$31, 0), MATCH($B$7, AccuracyTable!$C$1:$AF$1, 0)))</f>
        <v>0.95</v>
      </c>
      <c r="H20" s="22">
        <f>IF($B$8="","",INDEX(AccuracyTable!$C$2:$AF$31, MATCH($A20, AccuracyTable!$B$2:$B$31, 0), MATCH($B$8, AccuracyTable!$C$1:$AF$1, 0)))</f>
        <v>0.95</v>
      </c>
      <c r="I20" s="22">
        <f>IF($B$9="","",INDEX(AccuracyTable!$C$2:$AF$31, MATCH($A20, AccuracyTable!$B$2:$B$31, 0), MATCH($B$9, AccuracyTable!$C$1:$AF$1, 0)))</f>
        <v>0.95</v>
      </c>
      <c r="J20" s="22" t="str">
        <f>IF($B$10="","",INDEX(AccuracyTable!$C$2:$AF$31, MATCH($A20, AccuracyTable!$B$2:$B$31, 0), MATCH($B$10, AccuracyTable!$C$1:$AF$1, 0)))</f>
        <v/>
      </c>
      <c r="K20" s="21">
        <f t="shared" si="3"/>
        <v>9.5911055119455302</v>
      </c>
      <c r="L20" s="21">
        <f t="shared" si="4"/>
        <v>9.5911055119455302</v>
      </c>
      <c r="M20" s="21">
        <f t="shared" si="5"/>
        <v>9.5911055119455302</v>
      </c>
      <c r="N20" s="21" t="str">
        <f t="shared" si="6"/>
        <v/>
      </c>
      <c r="P20" s="26">
        <f t="shared" si="7"/>
        <v>0</v>
      </c>
    </row>
    <row r="21" spans="1:16" x14ac:dyDescent="0.25">
      <c r="A21" s="8" t="s">
        <v>66</v>
      </c>
      <c r="B21" s="7">
        <f>INDEX(AccuracyTable!$A$2:$A$31, MATCH($A21, AccuracyTable!$B$2:$B$31, 0))</f>
        <v>4470</v>
      </c>
      <c r="C21" s="20">
        <v>0.8</v>
      </c>
      <c r="D21" s="21">
        <f t="shared" si="0"/>
        <v>3576</v>
      </c>
      <c r="E21" s="22">
        <f t="shared" si="1"/>
        <v>9.5446792950389575E-2</v>
      </c>
      <c r="F21" s="21">
        <f t="shared" si="2"/>
        <v>20.04382651958181</v>
      </c>
      <c r="G21" s="22">
        <f>IF($B$7="","",INDEX(AccuracyTable!$C$2:$AF$31, MATCH($A21, AccuracyTable!$B$2:$B$31, 0), MATCH($B$7, AccuracyTable!$C$1:$AF$1, 0)))</f>
        <v>0.94739999999999991</v>
      </c>
      <c r="H21" s="22">
        <f>IF($B$8="","",INDEX(AccuracyTable!$C$2:$AF$31, MATCH($A21, AccuracyTable!$B$2:$B$31, 0), MATCH($B$8, AccuracyTable!$C$1:$AF$1, 0)))</f>
        <v>0.95</v>
      </c>
      <c r="I21" s="22">
        <f>IF($B$9="","",INDEX(AccuracyTable!$C$2:$AF$31, MATCH($A21, AccuracyTable!$B$2:$B$31, 0), MATCH($B$9, AccuracyTable!$C$1:$AF$1, 0)))</f>
        <v>0.95</v>
      </c>
      <c r="J21" s="22" t="str">
        <f>IF($B$10="","",INDEX(AccuracyTable!$C$2:$AF$31, MATCH($A21, AccuracyTable!$B$2:$B$31, 0), MATCH($B$10, AccuracyTable!$C$1:$AF$1, 0)))</f>
        <v/>
      </c>
      <c r="K21" s="21">
        <f t="shared" si="3"/>
        <v>18.989521244651804</v>
      </c>
      <c r="L21" s="21">
        <f t="shared" si="4"/>
        <v>19.041635193602719</v>
      </c>
      <c r="M21" s="21">
        <f t="shared" si="5"/>
        <v>19.041635193602719</v>
      </c>
      <c r="N21" s="21" t="str">
        <f t="shared" si="6"/>
        <v/>
      </c>
      <c r="P21" s="26">
        <f t="shared" si="7"/>
        <v>0</v>
      </c>
    </row>
    <row r="22" spans="1:16" x14ac:dyDescent="0.25">
      <c r="A22" s="8" t="s">
        <v>67</v>
      </c>
      <c r="B22" s="7">
        <f>INDEX(AccuracyTable!$A$2:$A$31, MATCH($A22, AccuracyTable!$B$2:$B$31, 0))</f>
        <v>4276</v>
      </c>
      <c r="C22" s="20">
        <v>1</v>
      </c>
      <c r="D22" s="21">
        <f t="shared" si="0"/>
        <v>4276</v>
      </c>
      <c r="E22" s="22">
        <f t="shared" si="1"/>
        <v>0.11413044928855308</v>
      </c>
      <c r="F22" s="21">
        <f t="shared" si="2"/>
        <v>23.967394350596148</v>
      </c>
      <c r="G22" s="22">
        <f>IF($B$7="","",INDEX(AccuracyTable!$C$2:$AF$31, MATCH($A22, AccuracyTable!$B$2:$B$31, 0), MATCH($B$7, AccuracyTable!$C$1:$AF$1, 0)))</f>
        <v>0.92930000000000001</v>
      </c>
      <c r="H22" s="22">
        <f>IF($B$8="","",INDEX(AccuracyTable!$C$2:$AF$31, MATCH($A22, AccuracyTable!$B$2:$B$31, 0), MATCH($B$8, AccuracyTable!$C$1:$AF$1, 0)))</f>
        <v>0.94969999999999999</v>
      </c>
      <c r="I22" s="22">
        <f>IF($B$9="","",INDEX(AccuracyTable!$C$2:$AF$31, MATCH($A22, AccuracyTable!$B$2:$B$31, 0), MATCH($B$9, AccuracyTable!$C$1:$AF$1, 0)))</f>
        <v>0.95</v>
      </c>
      <c r="J22" s="22" t="str">
        <f>IF($B$10="","",INDEX(AccuracyTable!$C$2:$AF$31, MATCH($A22, AccuracyTable!$B$2:$B$31, 0), MATCH($B$10, AccuracyTable!$C$1:$AF$1, 0)))</f>
        <v/>
      </c>
      <c r="K22" s="21">
        <f t="shared" si="3"/>
        <v>22.272899570009002</v>
      </c>
      <c r="L22" s="21">
        <f t="shared" si="4"/>
        <v>22.761834414761161</v>
      </c>
      <c r="M22" s="21">
        <f t="shared" si="5"/>
        <v>22.769024633066341</v>
      </c>
      <c r="N22" s="21" t="str">
        <f t="shared" si="6"/>
        <v/>
      </c>
      <c r="P22" s="26">
        <f t="shared" si="7"/>
        <v>2.9999999999996696E-4</v>
      </c>
    </row>
    <row r="23" spans="1:16" x14ac:dyDescent="0.25">
      <c r="A23" s="8" t="s">
        <v>68</v>
      </c>
      <c r="B23" s="7">
        <f>INDEX(AccuracyTable!$A$2:$A$31, MATCH($A23, AccuracyTable!$B$2:$B$31, 0))</f>
        <v>4380</v>
      </c>
      <c r="C23" s="20">
        <v>1.4</v>
      </c>
      <c r="D23" s="21">
        <f t="shared" si="0"/>
        <v>6132</v>
      </c>
      <c r="E23" s="22">
        <f t="shared" si="1"/>
        <v>0.16366882952231232</v>
      </c>
      <c r="F23" s="21">
        <f t="shared" si="2"/>
        <v>34.370454199685589</v>
      </c>
      <c r="G23" s="22">
        <f>IF($B$7="","",INDEX(AccuracyTable!$C$2:$AF$31, MATCH($A23, AccuracyTable!$B$2:$B$31, 0), MATCH($B$7, AccuracyTable!$C$1:$AF$1, 0)))</f>
        <v>0.88969999999999994</v>
      </c>
      <c r="H23" s="22">
        <f>IF($B$8="","",INDEX(AccuracyTable!$C$2:$AF$31, MATCH($A23, AccuracyTable!$B$2:$B$31, 0), MATCH($B$8, AccuracyTable!$C$1:$AF$1, 0)))</f>
        <v>0.94579999999999997</v>
      </c>
      <c r="I23" s="22">
        <f>IF($B$9="","",INDEX(AccuracyTable!$C$2:$AF$31, MATCH($A23, AccuracyTable!$B$2:$B$31, 0), MATCH($B$9, AccuracyTable!$C$1:$AF$1, 0)))</f>
        <v>0.95</v>
      </c>
      <c r="J23" s="22" t="str">
        <f>IF($B$10="","",INDEX(AccuracyTable!$C$2:$AF$31, MATCH($A23, AccuracyTable!$B$2:$B$31, 0), MATCH($B$10, AccuracyTable!$C$1:$AF$1, 0)))</f>
        <v/>
      </c>
      <c r="K23" s="21">
        <f t="shared" si="3"/>
        <v>30.579393101460266</v>
      </c>
      <c r="L23" s="21">
        <f t="shared" si="4"/>
        <v>32.507575582062628</v>
      </c>
      <c r="M23" s="21">
        <f t="shared" si="5"/>
        <v>32.651931489701312</v>
      </c>
      <c r="N23" s="21" t="str">
        <f t="shared" si="6"/>
        <v/>
      </c>
      <c r="P23" s="26">
        <f t="shared" si="7"/>
        <v>4.1999999999999815E-3</v>
      </c>
    </row>
    <row r="24" spans="1:16" x14ac:dyDescent="0.25">
      <c r="A24" s="8" t="s">
        <v>69</v>
      </c>
      <c r="B24" s="7">
        <f>INDEX(AccuracyTable!$A$2:$A$31, MATCH($A24, AccuracyTable!$B$2:$B$31, 0))</f>
        <v>4674</v>
      </c>
      <c r="C24" s="20">
        <v>1.7</v>
      </c>
      <c r="D24" s="21">
        <f t="shared" si="0"/>
        <v>7945.8</v>
      </c>
      <c r="E24" s="22">
        <f t="shared" si="1"/>
        <v>0.21208085218825656</v>
      </c>
      <c r="F24" s="21">
        <f t="shared" si="2"/>
        <v>44.536978959533876</v>
      </c>
      <c r="G24" s="22">
        <f>IF($B$7="","",INDEX(AccuracyTable!$C$2:$AF$31, MATCH($A24, AccuracyTable!$B$2:$B$31, 0), MATCH($B$7, AccuracyTable!$C$1:$AF$1, 0)))</f>
        <v>0.84799999999999998</v>
      </c>
      <c r="H24" s="22">
        <f>IF($B$8="","",INDEX(AccuracyTable!$C$2:$AF$31, MATCH($A24, AccuracyTable!$B$2:$B$31, 0), MATCH($B$8, AccuracyTable!$C$1:$AF$1, 0)))</f>
        <v>0.93120000000000003</v>
      </c>
      <c r="I24" s="22">
        <f>IF($B$9="","",INDEX(AccuracyTable!$C$2:$AF$31, MATCH($A24, AccuracyTable!$B$2:$B$31, 0), MATCH($B$9, AccuracyTable!$C$1:$AF$1, 0)))</f>
        <v>0.94980000000000009</v>
      </c>
      <c r="J24" s="22" t="str">
        <f>IF($B$10="","",INDEX(AccuracyTable!$C$2:$AF$31, MATCH($A24, AccuracyTable!$B$2:$B$31, 0), MATCH($B$10, AccuracyTable!$C$1:$AF$1, 0)))</f>
        <v/>
      </c>
      <c r="K24" s="21">
        <f t="shared" si="3"/>
        <v>37.767358157684725</v>
      </c>
      <c r="L24" s="21">
        <f t="shared" si="4"/>
        <v>41.472834807117948</v>
      </c>
      <c r="M24" s="21">
        <f t="shared" si="5"/>
        <v>42.301222615765276</v>
      </c>
      <c r="N24" s="21" t="str">
        <f t="shared" si="6"/>
        <v/>
      </c>
      <c r="P24" s="26">
        <f t="shared" si="7"/>
        <v>1.8600000000000061E-2</v>
      </c>
    </row>
    <row r="25" spans="1:16" x14ac:dyDescent="0.25">
      <c r="A25" s="8" t="s">
        <v>70</v>
      </c>
      <c r="B25" s="7">
        <f>INDEX(AccuracyTable!$A$2:$A$31, MATCH($A25, AccuracyTable!$B$2:$B$31, 0))</f>
        <v>5269</v>
      </c>
      <c r="C25" s="20">
        <v>2</v>
      </c>
      <c r="D25" s="21">
        <f t="shared" si="0"/>
        <v>10538</v>
      </c>
      <c r="E25" s="22">
        <f t="shared" si="1"/>
        <v>0.28126910070223859</v>
      </c>
      <c r="F25" s="21">
        <f t="shared" si="2"/>
        <v>59.066511147470102</v>
      </c>
      <c r="G25" s="22">
        <f>IF($B$7="","",INDEX(AccuracyTable!$C$2:$AF$31, MATCH($A25, AccuracyTable!$B$2:$B$31, 0), MATCH($B$7, AccuracyTable!$C$1:$AF$1, 0)))</f>
        <v>0.73209999999999997</v>
      </c>
      <c r="H25" s="22">
        <f>IF($B$8="","",INDEX(AccuracyTable!$C$2:$AF$31, MATCH($A25, AccuracyTable!$B$2:$B$31, 0), MATCH($B$8, AccuracyTable!$C$1:$AF$1, 0)))</f>
        <v>0.86719999999999997</v>
      </c>
      <c r="I25" s="22">
        <f>IF($B$9="","",INDEX(AccuracyTable!$C$2:$AF$31, MATCH($A25, AccuracyTable!$B$2:$B$31, 0), MATCH($B$9, AccuracyTable!$C$1:$AF$1, 0)))</f>
        <v>0.94459999999999988</v>
      </c>
      <c r="J25" s="22" t="str">
        <f>IF($B$10="","",INDEX(AccuracyTable!$C$2:$AF$31, MATCH($A25, AccuracyTable!$B$2:$B$31, 0), MATCH($B$10, AccuracyTable!$C$1:$AF$1, 0)))</f>
        <v/>
      </c>
      <c r="K25" s="21">
        <f t="shared" si="3"/>
        <v>43.242592811062863</v>
      </c>
      <c r="L25" s="21">
        <f t="shared" si="4"/>
        <v>51.22247846708607</v>
      </c>
      <c r="M25" s="21">
        <f t="shared" si="5"/>
        <v>55.794226429900249</v>
      </c>
      <c r="N25" s="21" t="str">
        <f t="shared" si="6"/>
        <v/>
      </c>
      <c r="P25" s="26">
        <f t="shared" si="7"/>
        <v>7.7399999999999913E-2</v>
      </c>
    </row>
    <row r="26" spans="1:16" x14ac:dyDescent="0.25">
      <c r="A26" s="8" t="s">
        <v>82</v>
      </c>
      <c r="B26" s="7">
        <f>INDEX(AccuracyTable!$A$2:$A$31, MATCH($A26, AccuracyTable!$B$2:$B$31, 0))</f>
        <v>2072</v>
      </c>
      <c r="C26" s="20">
        <v>0</v>
      </c>
      <c r="D26" s="21">
        <f t="shared" si="0"/>
        <v>0</v>
      </c>
      <c r="E26" s="22">
        <f t="shared" si="1"/>
        <v>0</v>
      </c>
      <c r="F26" s="21">
        <f t="shared" si="2"/>
        <v>0</v>
      </c>
      <c r="G26" s="22">
        <f>IF($B$7="","",INDEX(AccuracyTable!$C$2:$AF$31, MATCH($A26, AccuracyTable!$B$2:$B$31, 0), MATCH($B$7, AccuracyTable!$C$1:$AF$1, 0)))</f>
        <v>0.95</v>
      </c>
      <c r="H26" s="22">
        <f>IF($B$8="","",INDEX(AccuracyTable!$C$2:$AF$31, MATCH($A26, AccuracyTable!$B$2:$B$31, 0), MATCH($B$8, AccuracyTable!$C$1:$AF$1, 0)))</f>
        <v>0.95</v>
      </c>
      <c r="I26" s="22">
        <f>IF($B$9="","",INDEX(AccuracyTable!$C$2:$AF$31, MATCH($A26, AccuracyTable!$B$2:$B$31, 0), MATCH($B$9, AccuracyTable!$C$1:$AF$1, 0)))</f>
        <v>0.95</v>
      </c>
      <c r="J26" s="22" t="str">
        <f>IF($B$10="","",INDEX(AccuracyTable!$C$2:$AF$31, MATCH($A26, AccuracyTable!$B$2:$B$31, 0), MATCH($B$10, AccuracyTable!$C$1:$AF$1, 0)))</f>
        <v/>
      </c>
      <c r="K26" s="21">
        <f t="shared" si="3"/>
        <v>0</v>
      </c>
      <c r="L26" s="21">
        <f t="shared" si="4"/>
        <v>0</v>
      </c>
      <c r="M26" s="21">
        <f t="shared" si="5"/>
        <v>0</v>
      </c>
      <c r="N26" s="21" t="str">
        <f t="shared" si="6"/>
        <v/>
      </c>
      <c r="P26" s="26">
        <f t="shared" si="7"/>
        <v>0</v>
      </c>
    </row>
    <row r="27" spans="1:16" x14ac:dyDescent="0.25">
      <c r="A27" s="8" t="s">
        <v>83</v>
      </c>
      <c r="B27" s="7">
        <f>INDEX(AccuracyTable!$A$2:$A$31, MATCH($A27, AccuracyTable!$B$2:$B$31, 0))</f>
        <v>2433</v>
      </c>
      <c r="C27" s="20">
        <v>0.2</v>
      </c>
      <c r="D27" s="21">
        <f t="shared" si="0"/>
        <v>486.6</v>
      </c>
      <c r="E27" s="22">
        <f t="shared" si="1"/>
        <v>1.2987810248786232E-2</v>
      </c>
      <c r="F27" s="21">
        <f t="shared" si="2"/>
        <v>2.7274401522451086</v>
      </c>
      <c r="G27" s="22">
        <f>IF($B$7="","",INDEX(AccuracyTable!$C$2:$AF$31, MATCH($A27, AccuracyTable!$B$2:$B$31, 0), MATCH($B$7, AccuracyTable!$C$1:$AF$1, 0)))</f>
        <v>0.95</v>
      </c>
      <c r="H27" s="22">
        <f>IF($B$8="","",INDEX(AccuracyTable!$C$2:$AF$31, MATCH($A27, AccuracyTable!$B$2:$B$31, 0), MATCH($B$8, AccuracyTable!$C$1:$AF$1, 0)))</f>
        <v>0.95</v>
      </c>
      <c r="I27" s="22">
        <f>IF($B$9="","",INDEX(AccuracyTable!$C$2:$AF$31, MATCH($A27, AccuracyTable!$B$2:$B$31, 0), MATCH($B$9, AccuracyTable!$C$1:$AF$1, 0)))</f>
        <v>0.95</v>
      </c>
      <c r="J27" s="22" t="str">
        <f>IF($B$10="","",INDEX(AccuracyTable!$C$2:$AF$31, MATCH($A27, AccuracyTable!$B$2:$B$31, 0), MATCH($B$10, AccuracyTable!$C$1:$AF$1, 0)))</f>
        <v/>
      </c>
      <c r="K27" s="21">
        <f t="shared" si="3"/>
        <v>2.5910681446328532</v>
      </c>
      <c r="L27" s="21">
        <f t="shared" si="4"/>
        <v>2.5910681446328532</v>
      </c>
      <c r="M27" s="21">
        <f t="shared" si="5"/>
        <v>2.5910681446328532</v>
      </c>
      <c r="N27" s="21" t="str">
        <f t="shared" si="6"/>
        <v/>
      </c>
      <c r="P27" s="26">
        <f t="shared" si="7"/>
        <v>0</v>
      </c>
    </row>
    <row r="28" spans="1:16" x14ac:dyDescent="0.25">
      <c r="A28" s="8" t="s">
        <v>84</v>
      </c>
      <c r="B28" s="7">
        <f>INDEX(AccuracyTable!$A$2:$A$31, MATCH($A28, AccuracyTable!$B$2:$B$31, 0))</f>
        <v>2137</v>
      </c>
      <c r="C28" s="20">
        <v>0.3</v>
      </c>
      <c r="D28" s="21">
        <f t="shared" si="0"/>
        <v>641.1</v>
      </c>
      <c r="E28" s="22">
        <f t="shared" si="1"/>
        <v>1.7111560111995178E-2</v>
      </c>
      <c r="F28" s="21">
        <f t="shared" si="2"/>
        <v>3.5934276235189873</v>
      </c>
      <c r="G28" s="22">
        <f>IF($B$7="","",INDEX(AccuracyTable!$C$2:$AF$31, MATCH($A28, AccuracyTable!$B$2:$B$31, 0), MATCH($B$7, AccuracyTable!$C$1:$AF$1, 0)))</f>
        <v>0.95</v>
      </c>
      <c r="H28" s="22">
        <f>IF($B$8="","",INDEX(AccuracyTable!$C$2:$AF$31, MATCH($A28, AccuracyTable!$B$2:$B$31, 0), MATCH($B$8, AccuracyTable!$C$1:$AF$1, 0)))</f>
        <v>0.95</v>
      </c>
      <c r="I28" s="22">
        <f>IF($B$9="","",INDEX(AccuracyTable!$C$2:$AF$31, MATCH($A28, AccuracyTable!$B$2:$B$31, 0), MATCH($B$9, AccuracyTable!$C$1:$AF$1, 0)))</f>
        <v>0.95</v>
      </c>
      <c r="J28" s="22" t="str">
        <f>IF($B$10="","",INDEX(AccuracyTable!$C$2:$AF$31, MATCH($A28, AccuracyTable!$B$2:$B$31, 0), MATCH($B$10, AccuracyTable!$C$1:$AF$1, 0)))</f>
        <v/>
      </c>
      <c r="K28" s="21">
        <f t="shared" si="3"/>
        <v>3.4137562423430379</v>
      </c>
      <c r="L28" s="21">
        <f t="shared" si="4"/>
        <v>3.4137562423430379</v>
      </c>
      <c r="M28" s="21">
        <f t="shared" si="5"/>
        <v>3.4137562423430379</v>
      </c>
      <c r="N28" s="21" t="str">
        <f t="shared" si="6"/>
        <v/>
      </c>
      <c r="P28" s="26">
        <f t="shared" si="7"/>
        <v>0</v>
      </c>
    </row>
    <row r="29" spans="1:16" x14ac:dyDescent="0.25">
      <c r="A29" s="23" t="s">
        <v>122</v>
      </c>
      <c r="D29" s="24">
        <f>SUM($D$18:$D$28)</f>
        <v>37465.899999999994</v>
      </c>
      <c r="E29" s="25">
        <f>SUM($E$18:$E$28)</f>
        <v>1.0000000000000002</v>
      </c>
      <c r="F29" s="24">
        <f>SUM($F$18:$F$28)</f>
        <v>210.00000000000003</v>
      </c>
      <c r="K29" s="24">
        <f>SUM($K$18:$K$28)</f>
        <v>179.46585796684457</v>
      </c>
      <c r="L29" s="24">
        <f>SUM($L$18:$L$28)</f>
        <v>193.6204515466064</v>
      </c>
      <c r="M29" s="24">
        <f>SUM($M$18:$M$28)</f>
        <v>199.17213344401176</v>
      </c>
      <c r="N29" s="24">
        <f>SUM($N$18:$N$28)</f>
        <v>0</v>
      </c>
    </row>
    <row r="31" spans="1:16" ht="30" x14ac:dyDescent="0.25">
      <c r="A31" s="17" t="s">
        <v>123</v>
      </c>
      <c r="K31" s="21">
        <f>IF($B$7="","",SUMPRODUCT($F$18:$F$28,$G$18:$G$28,(1-$G$18:$G$28)))</f>
        <v>24.602483584310011</v>
      </c>
      <c r="L31" s="21">
        <f>IF($B$8="","",SUMPRODUCT($F$18:$F$28,$H$18:$H$28,(1-$H$18:$H$28)))</f>
        <v>14.84529345654796</v>
      </c>
      <c r="M31" s="21">
        <f>IF($B$9="","",SUMPRODUCT($F$18:$F$28,$I$18:$I$28,(1-$I$18:$I$28)))</f>
        <v>10.268355739445211</v>
      </c>
      <c r="N31" s="21" t="str">
        <f>IF($B$10="","",SUMPRODUCT($F$18:$F$28,$J$18:$J$28,(1-$J$18:$J$28)))</f>
        <v/>
      </c>
    </row>
    <row r="32" spans="1:16" ht="30" x14ac:dyDescent="0.25">
      <c r="A32" s="17" t="s">
        <v>124</v>
      </c>
      <c r="K32" s="21">
        <f>IF($B$7="","",SQRT(K31))</f>
        <v>4.9600890701992455</v>
      </c>
      <c r="L32" s="21">
        <f>IF($B$8="","",SQRT(L31))</f>
        <v>3.8529590520206622</v>
      </c>
      <c r="M32" s="21">
        <f>IF($B$9="","",SQRT(M31))</f>
        <v>3.2044275213281406</v>
      </c>
      <c r="N32" s="21" t="str">
        <f>IF($B$10="","",SQRT(N31))</f>
        <v/>
      </c>
    </row>
  </sheetData>
  <mergeCells count="4">
    <mergeCell ref="A3:C3"/>
    <mergeCell ref="D3:N3"/>
    <mergeCell ref="A6:C6"/>
    <mergeCell ref="A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17</vt:i4>
      </vt:variant>
    </vt:vector>
  </HeadingPairs>
  <TitlesOfParts>
    <vt:vector size="17" baseType="lpstr">
      <vt:lpstr>Overview</vt:lpstr>
      <vt:lpstr>AccuracyTable</vt:lpstr>
      <vt:lpstr>Quiz 1</vt:lpstr>
      <vt:lpstr>Quiz 2</vt:lpstr>
      <vt:lpstr>Quiz 3</vt:lpstr>
      <vt:lpstr>Quiz 4</vt:lpstr>
      <vt:lpstr>Quiz 5</vt:lpstr>
      <vt:lpstr>Quiz 6</vt:lpstr>
      <vt:lpstr>Quiz 7</vt:lpstr>
      <vt:lpstr>Quiz 8</vt:lpstr>
      <vt:lpstr>Quiz 9</vt:lpstr>
      <vt:lpstr>Quiz 10</vt:lpstr>
      <vt:lpstr>Quiz 11</vt:lpstr>
      <vt:lpstr>Quiz 12</vt:lpstr>
      <vt:lpstr>Quiz 13</vt:lpstr>
      <vt:lpstr>Quiz 14</vt:lpstr>
      <vt:lpstr>Quiz 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2025-12-28T06:09:33Z</dcterms:created>
  <dcterms:modified xsi:type="dcterms:W3CDTF">2025-12-28T09:04:29Z</dcterms:modified>
</cp:coreProperties>
</file>